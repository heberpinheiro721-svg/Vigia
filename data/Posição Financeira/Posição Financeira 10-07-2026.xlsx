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dventistas.sharepoint.com/sites/SAD-DSA-IAJA/Documentos Compartilhados/IAJA/01 - IAJA/05 - CONTABILIDADE/03 - CAIXA/09 - PLANILHAS/Posição Financeira/2026/"/>
    </mc:Choice>
  </mc:AlternateContent>
  <xr:revisionPtr revIDLastSave="267" documentId="8_{CA735DC7-0780-4D5B-902D-19CDAB62B616}" xr6:coauthVersionLast="47" xr6:coauthVersionMax="47" xr10:uidLastSave="{B66F1A57-FC5A-44E2-9766-C57F2C9153CF}"/>
  <bookViews>
    <workbookView xWindow="-57720" yWindow="-120" windowWidth="29040" windowHeight="15840" xr2:uid="{8AE765BB-1B3B-C94A-80E9-FD6B0D5051C9}"/>
  </bookViews>
  <sheets>
    <sheet name="QUADRO" sheetId="1" r:id="rId1"/>
    <sheet name="Somatória" sheetId="2" r:id="rId2"/>
    <sheet name="DrillDown" sheetId="4" state="veryHidden" r:id="rId3"/>
    <sheet name="Preenchimento" sheetId="3" r:id="rId4"/>
  </sheets>
  <definedNames>
    <definedName name="aap_consolidate">0</definedName>
    <definedName name="aap_enti">"9113"</definedName>
    <definedName name="aap_function">"-1"</definedName>
    <definedName name="aap_fund">"-1"</definedName>
    <definedName name="aap_fundchild">0</definedName>
    <definedName name="aap_id_enti">286</definedName>
    <definedName name="aap_id_function">0</definedName>
    <definedName name="aap_id_fund">0</definedName>
    <definedName name="aap_id_period">436</definedName>
    <definedName name="aap_id_restriction">0</definedName>
    <definedName name="aap_period">4</definedName>
    <definedName name="aap_period_business">4</definedName>
    <definedName name="aap_restriction">"-1"</definedName>
    <definedName name="aap_user">"0"</definedName>
    <definedName name="aap_version">"0"</definedName>
    <definedName name="aap_year">2021</definedName>
    <definedName name="aap_year_business">2021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C2" i="2"/>
  <c r="D32" i="3"/>
  <c r="D15" i="3"/>
  <c r="D14" i="3"/>
  <c r="D13" i="3"/>
  <c r="D18" i="3" s="1"/>
  <c r="C4" i="2" s="1"/>
  <c r="D36" i="3"/>
  <c r="D31" i="3"/>
  <c r="D33" i="3" s="1"/>
  <c r="C22" i="2" s="1"/>
  <c r="D24" i="3"/>
  <c r="C21" i="2" s="1"/>
  <c r="D10" i="3"/>
  <c r="C3" i="2" s="1"/>
  <c r="D13" i="2"/>
  <c r="D12" i="2"/>
  <c r="D2" i="2"/>
  <c r="E32" i="3"/>
  <c r="E36" i="3"/>
  <c r="E31" i="3"/>
  <c r="E33" i="3" s="1"/>
  <c r="D22" i="2" s="1"/>
  <c r="E24" i="3"/>
  <c r="D21" i="2" s="1"/>
  <c r="E18" i="3"/>
  <c r="D4" i="2" s="1"/>
  <c r="E10" i="3"/>
  <c r="D3" i="2" s="1"/>
  <c r="E13" i="2"/>
  <c r="E12" i="2"/>
  <c r="E2" i="2"/>
  <c r="F36" i="3"/>
  <c r="F32" i="3"/>
  <c r="F31" i="3"/>
  <c r="F33" i="3" s="1"/>
  <c r="E22" i="2" s="1"/>
  <c r="F24" i="3"/>
  <c r="E21" i="2" s="1"/>
  <c r="F10" i="3"/>
  <c r="E3" i="2" s="1"/>
  <c r="G32" i="3"/>
  <c r="G31" i="3"/>
  <c r="G16" i="3"/>
  <c r="F13" i="2"/>
  <c r="F12" i="2"/>
  <c r="F2" i="2"/>
  <c r="G36" i="3"/>
  <c r="G24" i="3"/>
  <c r="G10" i="3"/>
  <c r="H10" i="3"/>
  <c r="H13" i="3"/>
  <c r="H14" i="3"/>
  <c r="H15" i="3"/>
  <c r="H24" i="3"/>
  <c r="H28" i="3"/>
  <c r="H31" i="3"/>
  <c r="H32" i="3"/>
  <c r="H36" i="3"/>
  <c r="G13" i="2"/>
  <c r="G12" i="2"/>
  <c r="G2" i="2"/>
  <c r="H13" i="2"/>
  <c r="H12" i="2"/>
  <c r="H2" i="2"/>
  <c r="I13" i="2"/>
  <c r="I12" i="2"/>
  <c r="I2" i="2"/>
  <c r="I32" i="3"/>
  <c r="J32" i="3"/>
  <c r="I31" i="3"/>
  <c r="I36" i="3"/>
  <c r="I18" i="3"/>
  <c r="I10" i="3"/>
  <c r="J36" i="3"/>
  <c r="J31" i="3"/>
  <c r="J18" i="3"/>
  <c r="J10" i="3"/>
  <c r="J13" i="2"/>
  <c r="J12" i="2"/>
  <c r="J2" i="2"/>
  <c r="J11" i="2" s="1"/>
  <c r="J20" i="2" s="1"/>
  <c r="K27" i="3"/>
  <c r="C31" i="2" l="1"/>
  <c r="C30" i="2"/>
  <c r="E18" i="1"/>
  <c r="D18" i="1"/>
  <c r="E17" i="1"/>
  <c r="D17" i="1"/>
  <c r="C24" i="2"/>
  <c r="N9" i="1"/>
  <c r="M9" i="1"/>
  <c r="L9" i="1"/>
  <c r="N8" i="1"/>
  <c r="M8" i="1"/>
  <c r="C15" i="2"/>
  <c r="L8" i="1"/>
  <c r="E9" i="1"/>
  <c r="D9" i="1"/>
  <c r="E8" i="1"/>
  <c r="C6" i="2"/>
  <c r="D8" i="1"/>
  <c r="D7" i="1"/>
  <c r="C11" i="2"/>
  <c r="C20" i="2" s="1"/>
  <c r="L18" i="1"/>
  <c r="D15" i="2"/>
  <c r="D11" i="2"/>
  <c r="D20" i="2" s="1"/>
  <c r="D24" i="2"/>
  <c r="D31" i="2"/>
  <c r="D6" i="2"/>
  <c r="D30" i="2"/>
  <c r="E24" i="2"/>
  <c r="E30" i="2"/>
  <c r="E15" i="2"/>
  <c r="E11" i="2"/>
  <c r="E20" i="2" s="1"/>
  <c r="F18" i="3"/>
  <c r="E4" i="2" s="1"/>
  <c r="F21" i="2"/>
  <c r="F3" i="2"/>
  <c r="F15" i="2"/>
  <c r="F11" i="2"/>
  <c r="F20" i="2" s="1"/>
  <c r="F30" i="2"/>
  <c r="G18" i="3"/>
  <c r="F4" i="2" s="1"/>
  <c r="G33" i="3"/>
  <c r="F22" i="2" s="1"/>
  <c r="H33" i="3"/>
  <c r="H18" i="3"/>
  <c r="I4" i="2"/>
  <c r="I3" i="2"/>
  <c r="G3" i="2"/>
  <c r="F8" i="1" s="1"/>
  <c r="H4" i="2"/>
  <c r="H3" i="2"/>
  <c r="G11" i="2"/>
  <c r="G15" i="2"/>
  <c r="H11" i="2"/>
  <c r="H15" i="2"/>
  <c r="I15" i="2"/>
  <c r="I11" i="2"/>
  <c r="I20" i="2" s="1"/>
  <c r="G21" i="2"/>
  <c r="F17" i="1" s="1"/>
  <c r="I24" i="3"/>
  <c r="H21" i="2" s="1"/>
  <c r="I33" i="3"/>
  <c r="H22" i="2" s="1"/>
  <c r="J33" i="3"/>
  <c r="I22" i="2" s="1"/>
  <c r="J24" i="3"/>
  <c r="I21" i="2" s="1"/>
  <c r="J15" i="2"/>
  <c r="K36" i="3"/>
  <c r="K32" i="3"/>
  <c r="K31" i="3"/>
  <c r="K18" i="3"/>
  <c r="J4" i="2" s="1"/>
  <c r="K10" i="3"/>
  <c r="J3" i="2" s="1"/>
  <c r="L27" i="3"/>
  <c r="M27" i="3"/>
  <c r="O27" i="3"/>
  <c r="L32" i="3"/>
  <c r="M32" i="3"/>
  <c r="N32" i="3"/>
  <c r="O32" i="3"/>
  <c r="L31" i="3"/>
  <c r="N31" i="3"/>
  <c r="M31" i="3"/>
  <c r="O31" i="3"/>
  <c r="P31" i="3"/>
  <c r="Q31" i="3"/>
  <c r="O28" i="3"/>
  <c r="N27" i="3"/>
  <c r="O29" i="3"/>
  <c r="N2" i="2"/>
  <c r="N11" i="2" s="1"/>
  <c r="N20" i="2" s="1"/>
  <c r="M2" i="2"/>
  <c r="M11" i="2" s="1"/>
  <c r="M20" i="2" s="1"/>
  <c r="L2" i="2"/>
  <c r="L11" i="2" s="1"/>
  <c r="L20" i="2" s="1"/>
  <c r="K2" i="2"/>
  <c r="K11" i="2" s="1"/>
  <c r="K20" i="2" s="1"/>
  <c r="O36" i="3"/>
  <c r="O18" i="3"/>
  <c r="N4" i="2" s="1"/>
  <c r="O10" i="3"/>
  <c r="N3" i="2" s="1"/>
  <c r="N36" i="3"/>
  <c r="N18" i="3"/>
  <c r="M4" i="2" s="1"/>
  <c r="N10" i="3"/>
  <c r="M3" i="2" s="1"/>
  <c r="M36" i="3"/>
  <c r="M18" i="3"/>
  <c r="L4" i="2" s="1"/>
  <c r="G9" i="1" s="1"/>
  <c r="M10" i="3"/>
  <c r="L3" i="2" s="1"/>
  <c r="G8" i="1" s="1"/>
  <c r="L36" i="3"/>
  <c r="L18" i="3"/>
  <c r="K4" i="2" s="1"/>
  <c r="L10" i="3"/>
  <c r="K3" i="2" s="1"/>
  <c r="N13" i="2"/>
  <c r="M13" i="2"/>
  <c r="L13" i="2"/>
  <c r="O9" i="1" s="1"/>
  <c r="K13" i="2"/>
  <c r="N12" i="2"/>
  <c r="M12" i="2"/>
  <c r="L12" i="2"/>
  <c r="O8" i="1" s="1"/>
  <c r="K12" i="2"/>
  <c r="O24" i="3"/>
  <c r="N21" i="2" s="1"/>
  <c r="N24" i="3"/>
  <c r="M21" i="2" s="1"/>
  <c r="M24" i="3"/>
  <c r="L21" i="2" s="1"/>
  <c r="G17" i="1" s="1"/>
  <c r="L24" i="3"/>
  <c r="K21" i="2" s="1"/>
  <c r="O13" i="2"/>
  <c r="O12" i="2"/>
  <c r="O2" i="2"/>
  <c r="O11" i="2" s="1"/>
  <c r="O20" i="2" s="1"/>
  <c r="P36" i="3"/>
  <c r="P24" i="3"/>
  <c r="O21" i="2" s="1"/>
  <c r="P18" i="3"/>
  <c r="O4" i="2" s="1"/>
  <c r="P10" i="3"/>
  <c r="O3" i="2" s="1"/>
  <c r="P13" i="2"/>
  <c r="P12" i="2"/>
  <c r="P2" i="2"/>
  <c r="P11" i="2" s="1"/>
  <c r="P20" i="2" s="1"/>
  <c r="Q32" i="3"/>
  <c r="Q36" i="3"/>
  <c r="Q24" i="3"/>
  <c r="P21" i="2" s="1"/>
  <c r="Q18" i="3"/>
  <c r="P4" i="2" s="1"/>
  <c r="Q10" i="3"/>
  <c r="P3" i="2" s="1"/>
  <c r="L17" i="1" l="1"/>
  <c r="C32" i="2"/>
  <c r="M18" i="1"/>
  <c r="M17" i="1"/>
  <c r="E20" i="1"/>
  <c r="M11" i="1"/>
  <c r="N11" i="1"/>
  <c r="E11" i="1"/>
  <c r="G11" i="1"/>
  <c r="C26" i="2"/>
  <c r="H6" i="2"/>
  <c r="D26" i="2"/>
  <c r="D32" i="2"/>
  <c r="E6" i="2"/>
  <c r="E31" i="2"/>
  <c r="G4" i="2"/>
  <c r="F9" i="1" s="1"/>
  <c r="F24" i="2"/>
  <c r="F31" i="2"/>
  <c r="F6" i="2"/>
  <c r="I6" i="2"/>
  <c r="G22" i="2"/>
  <c r="F18" i="1" s="1"/>
  <c r="H31" i="2"/>
  <c r="I31" i="2"/>
  <c r="N15" i="2"/>
  <c r="P33" i="3"/>
  <c r="O22" i="2" s="1"/>
  <c r="G30" i="2"/>
  <c r="N17" i="1" s="1"/>
  <c r="H30" i="2"/>
  <c r="H24" i="2"/>
  <c r="I30" i="2"/>
  <c r="I24" i="2"/>
  <c r="H20" i="2"/>
  <c r="G20" i="2"/>
  <c r="K24" i="3"/>
  <c r="J21" i="2" s="1"/>
  <c r="J6" i="2"/>
  <c r="K33" i="3"/>
  <c r="J22" i="2" s="1"/>
  <c r="Q33" i="3"/>
  <c r="P22" i="2" s="1"/>
  <c r="P24" i="2" s="1"/>
  <c r="L15" i="2"/>
  <c r="O11" i="1" s="1"/>
  <c r="L33" i="3"/>
  <c r="K22" i="2" s="1"/>
  <c r="M15" i="2"/>
  <c r="K15" i="2"/>
  <c r="O33" i="3"/>
  <c r="N22" i="2" s="1"/>
  <c r="N24" i="2" s="1"/>
  <c r="M30" i="2"/>
  <c r="L30" i="2"/>
  <c r="O17" i="1" s="1"/>
  <c r="N30" i="2"/>
  <c r="N6" i="2"/>
  <c r="M6" i="2"/>
  <c r="L6" i="2"/>
  <c r="K6" i="2"/>
  <c r="K30" i="2"/>
  <c r="O30" i="2"/>
  <c r="O6" i="2"/>
  <c r="O15" i="2"/>
  <c r="P30" i="2"/>
  <c r="P15" i="2"/>
  <c r="P6" i="2"/>
  <c r="R32" i="3"/>
  <c r="R30" i="3"/>
  <c r="R28" i="3"/>
  <c r="Q13" i="2"/>
  <c r="Q12" i="2"/>
  <c r="Q2" i="2"/>
  <c r="Q11" i="2" s="1"/>
  <c r="Q20" i="2" s="1"/>
  <c r="R36" i="3"/>
  <c r="R31" i="3"/>
  <c r="R24" i="3"/>
  <c r="Q21" i="2" s="1"/>
  <c r="R18" i="3"/>
  <c r="Q4" i="2" s="1"/>
  <c r="R10" i="3"/>
  <c r="Q3" i="2" s="1"/>
  <c r="S32" i="3"/>
  <c r="M20" i="1" l="1"/>
  <c r="E26" i="2"/>
  <c r="E32" i="2"/>
  <c r="G6" i="2"/>
  <c r="F11" i="1" s="1"/>
  <c r="G31" i="2"/>
  <c r="N18" i="1" s="1"/>
  <c r="G24" i="2"/>
  <c r="F20" i="1" s="1"/>
  <c r="F32" i="2"/>
  <c r="F26" i="2"/>
  <c r="I32" i="2"/>
  <c r="I26" i="2"/>
  <c r="O24" i="2"/>
  <c r="O31" i="2"/>
  <c r="H32" i="2"/>
  <c r="H26" i="2"/>
  <c r="J30" i="2"/>
  <c r="J24" i="2"/>
  <c r="J31" i="2"/>
  <c r="P31" i="2"/>
  <c r="K31" i="2"/>
  <c r="M33" i="3"/>
  <c r="L22" i="2" s="1"/>
  <c r="K24" i="2"/>
  <c r="N33" i="3"/>
  <c r="M22" i="2" s="1"/>
  <c r="N31" i="2"/>
  <c r="N32" i="2" s="1"/>
  <c r="N26" i="2"/>
  <c r="P26" i="2"/>
  <c r="Q15" i="2"/>
  <c r="R33" i="3"/>
  <c r="Q22" i="2" s="1"/>
  <c r="Q30" i="2"/>
  <c r="Q6" i="2"/>
  <c r="R13" i="2"/>
  <c r="R12" i="2"/>
  <c r="R2" i="2"/>
  <c r="R11" i="2" s="1"/>
  <c r="R20" i="2" s="1"/>
  <c r="S36" i="3"/>
  <c r="S31" i="3"/>
  <c r="S24" i="3"/>
  <c r="R21" i="2" s="1"/>
  <c r="S18" i="3"/>
  <c r="R4" i="2" s="1"/>
  <c r="S10" i="3"/>
  <c r="R3" i="2" s="1"/>
  <c r="T32" i="3"/>
  <c r="T27" i="3"/>
  <c r="T15" i="3"/>
  <c r="T14" i="3"/>
  <c r="T16" i="3"/>
  <c r="L24" i="2" l="1"/>
  <c r="G18" i="1"/>
  <c r="G26" i="2"/>
  <c r="G32" i="2"/>
  <c r="N20" i="1" s="1"/>
  <c r="O26" i="2"/>
  <c r="O32" i="2"/>
  <c r="J26" i="2"/>
  <c r="K32" i="2"/>
  <c r="P32" i="2"/>
  <c r="J32" i="2"/>
  <c r="K26" i="2"/>
  <c r="L31" i="2"/>
  <c r="M31" i="2"/>
  <c r="M32" i="2" s="1"/>
  <c r="M24" i="2"/>
  <c r="M26" i="2" s="1"/>
  <c r="Q31" i="2"/>
  <c r="Q24" i="2"/>
  <c r="R30" i="2"/>
  <c r="S33" i="3"/>
  <c r="R22" i="2" s="1"/>
  <c r="R15" i="2"/>
  <c r="R6" i="2"/>
  <c r="S13" i="2"/>
  <c r="S12" i="2"/>
  <c r="S2" i="2"/>
  <c r="T36" i="3"/>
  <c r="T31" i="3"/>
  <c r="T33" i="3" s="1"/>
  <c r="S22" i="2" s="1"/>
  <c r="T24" i="3"/>
  <c r="S21" i="2" s="1"/>
  <c r="T18" i="3"/>
  <c r="S4" i="2" s="1"/>
  <c r="T10" i="3"/>
  <c r="S3" i="2" s="1"/>
  <c r="G20" i="1" l="1"/>
  <c r="L26" i="2"/>
  <c r="L32" i="2"/>
  <c r="O20" i="1" s="1"/>
  <c r="O18" i="1"/>
  <c r="Q26" i="2"/>
  <c r="Q32" i="2"/>
  <c r="R24" i="2"/>
  <c r="R31" i="2"/>
  <c r="S11" i="2"/>
  <c r="S20" i="2" s="1"/>
  <c r="S30" i="2"/>
  <c r="S31" i="2"/>
  <c r="S24" i="2"/>
  <c r="S15" i="2"/>
  <c r="S6" i="2"/>
  <c r="U16" i="3"/>
  <c r="U18" i="3" s="1"/>
  <c r="T4" i="2" s="1"/>
  <c r="U27" i="3"/>
  <c r="T13" i="2"/>
  <c r="T12" i="2"/>
  <c r="T2" i="2"/>
  <c r="T11" i="2" s="1"/>
  <c r="T20" i="2" s="1"/>
  <c r="U36" i="3"/>
  <c r="U32" i="3"/>
  <c r="U31" i="3"/>
  <c r="U24" i="3"/>
  <c r="T21" i="2" s="1"/>
  <c r="U10" i="3"/>
  <c r="T3" i="2" s="1"/>
  <c r="R26" i="2" l="1"/>
  <c r="R32" i="2"/>
  <c r="D11" i="1"/>
  <c r="S32" i="2"/>
  <c r="S26" i="2"/>
  <c r="T15" i="2"/>
  <c r="U33" i="3"/>
  <c r="T22" i="2" s="1"/>
  <c r="T30" i="2"/>
  <c r="T6" i="2"/>
  <c r="V16" i="3"/>
  <c r="V8" i="3"/>
  <c r="V10" i="3" s="1"/>
  <c r="U3" i="2" s="1"/>
  <c r="V27" i="3"/>
  <c r="U13" i="2"/>
  <c r="U12" i="2"/>
  <c r="U2" i="2"/>
  <c r="U11" i="2" s="1"/>
  <c r="U20" i="2" s="1"/>
  <c r="V36" i="3"/>
  <c r="V32" i="3"/>
  <c r="V31" i="3"/>
  <c r="V29" i="3"/>
  <c r="V24" i="3"/>
  <c r="U21" i="2" s="1"/>
  <c r="P59" i="1"/>
  <c r="W32" i="3"/>
  <c r="W27" i="3"/>
  <c r="V13" i="2"/>
  <c r="P9" i="1" s="1"/>
  <c r="V12" i="2"/>
  <c r="P8" i="1" s="1"/>
  <c r="V2" i="2"/>
  <c r="V11" i="2" s="1"/>
  <c r="V20" i="2" s="1"/>
  <c r="W36" i="3"/>
  <c r="W31" i="3"/>
  <c r="W24" i="3"/>
  <c r="V21" i="2" s="1"/>
  <c r="H17" i="1" s="1"/>
  <c r="W18" i="3"/>
  <c r="V4" i="2" s="1"/>
  <c r="H9" i="1" s="1"/>
  <c r="W10" i="3"/>
  <c r="V3" i="2" s="1"/>
  <c r="H8" i="1" s="1"/>
  <c r="T24" i="2" l="1"/>
  <c r="T26" i="2" s="1"/>
  <c r="T31" i="2"/>
  <c r="V33" i="3"/>
  <c r="U22" i="2" s="1"/>
  <c r="U15" i="2"/>
  <c r="V18" i="3"/>
  <c r="U4" i="2" s="1"/>
  <c r="U30" i="2"/>
  <c r="V15" i="2"/>
  <c r="P11" i="1" s="1"/>
  <c r="W33" i="3"/>
  <c r="V22" i="2" s="1"/>
  <c r="H18" i="1" s="1"/>
  <c r="V30" i="2"/>
  <c r="P17" i="1" s="1"/>
  <c r="V6" i="2"/>
  <c r="H11" i="1" s="1"/>
  <c r="T32" i="2" l="1"/>
  <c r="U24" i="2"/>
  <c r="U6" i="2"/>
  <c r="U31" i="2"/>
  <c r="V24" i="2"/>
  <c r="H20" i="1" s="1"/>
  <c r="V31" i="2"/>
  <c r="P18" i="1" s="1"/>
  <c r="U26" i="2" l="1"/>
  <c r="U32" i="2"/>
  <c r="V26" i="2"/>
  <c r="V32" i="2"/>
  <c r="P20" i="1" s="1"/>
  <c r="L7" i="1" l="1"/>
  <c r="D16" i="1" l="1"/>
  <c r="L16" i="1"/>
  <c r="D20" i="1" l="1"/>
  <c r="L11" i="1"/>
  <c r="L20" i="1" l="1"/>
</calcChain>
</file>

<file path=xl/sharedStrings.xml><?xml version="1.0" encoding="utf-8"?>
<sst xmlns="http://schemas.openxmlformats.org/spreadsheetml/2006/main" count="142" uniqueCount="81">
  <si>
    <t>GENERAL CONFERENCE - SOUTH AMERICAN DIVISION</t>
  </si>
  <si>
    <t xml:space="preserve">  IAJA / PPG / ASSISTENCIAL</t>
  </si>
  <si>
    <t>IAJA</t>
  </si>
  <si>
    <t>PPG</t>
  </si>
  <si>
    <t>Variação em Reais</t>
  </si>
  <si>
    <t>Variação em Dólares</t>
  </si>
  <si>
    <t>Semanal</t>
  </si>
  <si>
    <t>Mensal</t>
  </si>
  <si>
    <t>Trimestral</t>
  </si>
  <si>
    <t>12 Meses</t>
  </si>
  <si>
    <t>Bancos</t>
  </si>
  <si>
    <t>Aplicações</t>
  </si>
  <si>
    <t>Total</t>
  </si>
  <si>
    <t>ASSISTENCIAL</t>
  </si>
  <si>
    <t>CONSOLIDADO</t>
  </si>
  <si>
    <t>Cotação US$</t>
  </si>
  <si>
    <t>BRASIL</t>
  </si>
  <si>
    <t>IAJA - CONSOLIDADO</t>
  </si>
  <si>
    <t>Tesouraria DSA</t>
  </si>
  <si>
    <t>Brasília</t>
  </si>
  <si>
    <t>Banco</t>
  </si>
  <si>
    <t>URUGUAI</t>
  </si>
  <si>
    <t>Uruguai</t>
  </si>
  <si>
    <t>ASSISTÊNCIAL</t>
  </si>
  <si>
    <t>Brasil</t>
  </si>
  <si>
    <t>Cotação</t>
  </si>
  <si>
    <t>US$ / R$</t>
  </si>
  <si>
    <t>Agência</t>
  </si>
  <si>
    <t>Conta</t>
  </si>
  <si>
    <t>04/Junho</t>
  </si>
  <si>
    <t>04/Maio</t>
  </si>
  <si>
    <t>05/Abril</t>
  </si>
  <si>
    <t>04/Março</t>
  </si>
  <si>
    <t>04/Novembro</t>
  </si>
  <si>
    <t>04/Setembro</t>
  </si>
  <si>
    <t>04/Agosto</t>
  </si>
  <si>
    <t>Santander</t>
  </si>
  <si>
    <t>13000563-3</t>
  </si>
  <si>
    <t>13011444-6</t>
  </si>
  <si>
    <t>13011446-0</t>
  </si>
  <si>
    <t>13011445-3</t>
  </si>
  <si>
    <t>13011447-7</t>
  </si>
  <si>
    <t>13005913-4</t>
  </si>
  <si>
    <t>13005914-1</t>
  </si>
  <si>
    <t>13005915-8</t>
  </si>
  <si>
    <t>Carteira</t>
  </si>
  <si>
    <t>Código</t>
  </si>
  <si>
    <t>Alpha</t>
  </si>
  <si>
    <t>CUST1811</t>
  </si>
  <si>
    <t>Beta</t>
  </si>
  <si>
    <t>CUST1812</t>
  </si>
  <si>
    <t>Gama</t>
  </si>
  <si>
    <t>CUST1813</t>
  </si>
  <si>
    <t>Administ</t>
  </si>
  <si>
    <t>CUST1814</t>
  </si>
  <si>
    <t>Empréstimos</t>
  </si>
  <si>
    <t>Assistencial</t>
  </si>
  <si>
    <t>13003356-1</t>
  </si>
  <si>
    <t>Bradesco</t>
  </si>
  <si>
    <t>210000-2</t>
  </si>
  <si>
    <t>Oceana</t>
  </si>
  <si>
    <t>1120510/1120590</t>
  </si>
  <si>
    <t>Superbom</t>
  </si>
  <si>
    <t>HAS</t>
  </si>
  <si>
    <t>1216023/1137023</t>
  </si>
  <si>
    <t>Convênios</t>
  </si>
  <si>
    <t>1137010/1216010</t>
  </si>
  <si>
    <t>04/Julho</t>
  </si>
  <si>
    <t>04/Outubro</t>
  </si>
  <si>
    <t>05/Dezembro</t>
  </si>
  <si>
    <t>04/Janeiro</t>
  </si>
  <si>
    <t>04/Fevereiro</t>
  </si>
  <si>
    <t>P</t>
  </si>
  <si>
    <t>02/Maio</t>
  </si>
  <si>
    <t>01/Maio</t>
  </si>
  <si>
    <t>03/Maio</t>
  </si>
  <si>
    <t>01/Junho</t>
  </si>
  <si>
    <t>02/Junho</t>
  </si>
  <si>
    <t>03/Junho</t>
  </si>
  <si>
    <t>05/Junho</t>
  </si>
  <si>
    <t>01/Julho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</si>
</sst>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$&quot;\ #,##0"/>
    <numFmt numFmtId="165" formatCode="[$USD]\ #,##0"/>
    <numFmt numFmtId="166" formatCode="[$ARS]\ #,##0"/>
    <numFmt numFmtId="167" formatCode="0.00%;\(0.00%\)"/>
    <numFmt numFmtId="168" formatCode="_-* #,##0_-;\-* #,##0_-;_-* &quot;-&quot;??_-;_-@_-"/>
    <numFmt numFmtId="169" formatCode="_(* #,##0.000000_);_(* \(#,##0.000000\);_(* &quot;-&quot;????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168" fontId="0" fillId="0" borderId="0" xfId="1" applyNumberFormat="1" applyFont="1"/>
    <xf numFmtId="168" fontId="0" fillId="0" borderId="0" xfId="0" applyNumberFormat="1"/>
    <xf numFmtId="168" fontId="0" fillId="0" borderId="0" xfId="1" applyNumberFormat="1" applyFont="1" applyFill="1"/>
    <xf numFmtId="0" fontId="4" fillId="0" borderId="0" xfId="0" applyFont="1"/>
    <xf numFmtId="2" fontId="0" fillId="0" borderId="0" xfId="0" applyNumberFormat="1"/>
    <xf numFmtId="168" fontId="0" fillId="2" borderId="0" xfId="1" applyNumberFormat="1" applyFont="1" applyFill="1"/>
    <xf numFmtId="0" fontId="0" fillId="0" borderId="0" xfId="0" applyAlignment="1">
      <alignment horizontal="right"/>
    </xf>
    <xf numFmtId="164" fontId="5" fillId="0" borderId="0" xfId="0" applyNumberFormat="1" applyFont="1" applyAlignment="1">
      <alignment horizontal="center"/>
    </xf>
    <xf numFmtId="167" fontId="5" fillId="0" borderId="0" xfId="2" applyNumberFormat="1" applyFont="1" applyFill="1" applyAlignment="1">
      <alignment horizontal="center"/>
    </xf>
    <xf numFmtId="167" fontId="5" fillId="0" borderId="0" xfId="0" applyNumberFormat="1" applyFont="1" applyAlignment="1">
      <alignment horizontal="center"/>
    </xf>
    <xf numFmtId="167" fontId="3" fillId="0" borderId="1" xfId="2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7" fontId="3" fillId="0" borderId="0" xfId="2" applyNumberFormat="1" applyFont="1" applyFill="1" applyBorder="1" applyAlignment="1">
      <alignment horizontal="center"/>
    </xf>
    <xf numFmtId="0" fontId="0" fillId="0" borderId="6" xfId="0" applyBorder="1"/>
    <xf numFmtId="2" fontId="0" fillId="0" borderId="2" xfId="0" applyNumberFormat="1" applyBorder="1" applyAlignment="1">
      <alignment horizontal="center"/>
    </xf>
    <xf numFmtId="0" fontId="6" fillId="0" borderId="0" xfId="0" applyFont="1" applyAlignment="1">
      <alignment vertical="center"/>
    </xf>
    <xf numFmtId="43" fontId="0" fillId="0" borderId="0" xfId="1" applyFont="1"/>
    <xf numFmtId="14" fontId="0" fillId="0" borderId="0" xfId="0" applyNumberFormat="1"/>
    <xf numFmtId="43" fontId="0" fillId="0" borderId="0" xfId="0" applyNumberFormat="1"/>
    <xf numFmtId="4" fontId="0" fillId="0" borderId="0" xfId="0" applyNumberFormat="1"/>
    <xf numFmtId="43" fontId="0" fillId="0" borderId="0" xfId="1" applyFont="1" applyFill="1"/>
    <xf numFmtId="0" fontId="0" fillId="0" borderId="0" xfId="0" quotePrefix="1"/>
    <xf numFmtId="1" fontId="0" fillId="0" borderId="0" xfId="0" applyNumberFormat="1"/>
    <xf numFmtId="0" fontId="2" fillId="0" borderId="0" xfId="0" applyFont="1" applyAlignment="1">
      <alignment vertical="center" wrapText="1"/>
    </xf>
    <xf numFmtId="169" fontId="0" fillId="0" borderId="0" xfId="0" applyNumberFormat="1"/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Somatória!$C$2:$V$2</c:f>
              <c:strCache>
                <c:ptCount val="20"/>
                <c:pt idx="0">
                  <c:v>01/Julho</c:v>
                </c:pt>
                <c:pt idx="1">
                  <c:v>05/Junho</c:v>
                </c:pt>
                <c:pt idx="2">
                  <c:v>04/Junho</c:v>
                </c:pt>
                <c:pt idx="3">
                  <c:v>03/Junho</c:v>
                </c:pt>
                <c:pt idx="4">
                  <c:v>02/Junho</c:v>
                </c:pt>
                <c:pt idx="5">
                  <c:v>01/Junho</c:v>
                </c:pt>
                <c:pt idx="6">
                  <c:v>04/Maio</c:v>
                </c:pt>
                <c:pt idx="7">
                  <c:v>03/Maio</c:v>
                </c:pt>
                <c:pt idx="8">
                  <c:v>02/Maio</c:v>
                </c:pt>
                <c:pt idx="9">
                  <c:v>01/Maio</c:v>
                </c:pt>
                <c:pt idx="10">
                  <c:v>05/Abril</c:v>
                </c:pt>
                <c:pt idx="11">
                  <c:v>04/Março</c:v>
                </c:pt>
                <c:pt idx="12">
                  <c:v>04/Fevereiro</c:v>
                </c:pt>
                <c:pt idx="13">
                  <c:v>04/Janeiro</c:v>
                </c:pt>
                <c:pt idx="14">
                  <c:v>05/Dezembro</c:v>
                </c:pt>
                <c:pt idx="15">
                  <c:v>04/Novembro</c:v>
                </c:pt>
                <c:pt idx="16">
                  <c:v>04/Outubro</c:v>
                </c:pt>
                <c:pt idx="17">
                  <c:v>04/Setembro</c:v>
                </c:pt>
                <c:pt idx="18">
                  <c:v>04/Agosto</c:v>
                </c:pt>
                <c:pt idx="19">
                  <c:v>04/Julho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Somatória!$C$2:$V$2</c:f>
              <c:strCache>
                <c:ptCount val="20"/>
                <c:pt idx="0">
                  <c:v>01/Julho</c:v>
                </c:pt>
                <c:pt idx="1">
                  <c:v>05/Junho</c:v>
                </c:pt>
                <c:pt idx="2">
                  <c:v>04/Junho</c:v>
                </c:pt>
                <c:pt idx="3">
                  <c:v>03/Junho</c:v>
                </c:pt>
                <c:pt idx="4">
                  <c:v>02/Junho</c:v>
                </c:pt>
                <c:pt idx="5">
                  <c:v>01/Junho</c:v>
                </c:pt>
                <c:pt idx="6">
                  <c:v>04/Maio</c:v>
                </c:pt>
                <c:pt idx="7">
                  <c:v>03/Maio</c:v>
                </c:pt>
                <c:pt idx="8">
                  <c:v>02/Maio</c:v>
                </c:pt>
                <c:pt idx="9">
                  <c:v>01/Maio</c:v>
                </c:pt>
                <c:pt idx="10">
                  <c:v>05/Abril</c:v>
                </c:pt>
                <c:pt idx="11">
                  <c:v>04/Março</c:v>
                </c:pt>
                <c:pt idx="12">
                  <c:v>04/Fevereiro</c:v>
                </c:pt>
                <c:pt idx="13">
                  <c:v>04/Janeiro</c:v>
                </c:pt>
                <c:pt idx="14">
                  <c:v>05/Dezembro</c:v>
                </c:pt>
                <c:pt idx="15">
                  <c:v>04/Novembro</c:v>
                </c:pt>
                <c:pt idx="16">
                  <c:v>04/Outubro</c:v>
                </c:pt>
                <c:pt idx="17">
                  <c:v>04/Setembro</c:v>
                </c:pt>
                <c:pt idx="18">
                  <c:v>04/Agosto</c:v>
                </c:pt>
                <c:pt idx="19">
                  <c:v>04/Julho</c:v>
                </c:pt>
              </c:strCache>
            </c:strRef>
          </c:cat>
          <c:val>
            <c:numRef>
              <c:f>Somatória!$C$32:$V$32</c:f>
              <c:numCache>
                <c:formatCode>General</c:formatCode>
                <c:ptCount val="20"/>
                <c:pt idx="0">
                  <c:v>3189819724.7506332</c:v>
                </c:pt>
                <c:pt idx="1">
                  <c:v>3193311306.0377955</c:v>
                </c:pt>
                <c:pt idx="2">
                  <c:v>3187006399.3300352</c:v>
                </c:pt>
                <c:pt idx="3">
                  <c:v>3178670595.4822741</c:v>
                </c:pt>
                <c:pt idx="4">
                  <c:v>3155419695.8634701</c:v>
                </c:pt>
                <c:pt idx="5">
                  <c:v>3155791305.8667526</c:v>
                </c:pt>
                <c:pt idx="6">
                  <c:v>3145557025.5057101</c:v>
                </c:pt>
                <c:pt idx="7">
                  <c:v>3140666122.1918287</c:v>
                </c:pt>
                <c:pt idx="8">
                  <c:v>3098548557.3125181</c:v>
                </c:pt>
                <c:pt idx="9">
                  <c:v>3087671440.1903501</c:v>
                </c:pt>
                <c:pt idx="10">
                  <c:v>3113039359.9780545</c:v>
                </c:pt>
                <c:pt idx="11">
                  <c:v>3071929072.2587013</c:v>
                </c:pt>
                <c:pt idx="12" formatCode="_-* #.##0_-;\-* #.##0_-;_-* &quot;-&quot;??_-;_-@_-">
                  <c:v>3066946423.4358106</c:v>
                </c:pt>
                <c:pt idx="13" formatCode="_-* #.##0_-;\-* #.##0_-;_-* &quot;-&quot;??_-;_-@_-">
                  <c:v>3066172110.0887356</c:v>
                </c:pt>
                <c:pt idx="14" formatCode="_-* #.##0_-;\-* #.##0_-;_-* &quot;-&quot;??_-;_-@_-">
                  <c:v>3017005263.7548132</c:v>
                </c:pt>
                <c:pt idx="15" formatCode="_-* #.##0_-;\-* #.##0_-;_-* &quot;-&quot;??_-;_-@_-">
                  <c:v>2978575355.9103217</c:v>
                </c:pt>
                <c:pt idx="16" formatCode="_-* #.##0_-;\-* #.##0_-;_-* &quot;-&quot;??_-;_-@_-">
                  <c:v>2957048188.1051764</c:v>
                </c:pt>
                <c:pt idx="17" formatCode="_-* #.##0_-;\-* #.##0_-;_-* &quot;-&quot;??_-;_-@_-">
                  <c:v>2939493750.6309209</c:v>
                </c:pt>
                <c:pt idx="18" formatCode="_-* #.##0_-;\-* #.##0_-;_-* &quot;-&quot;??_-;_-@_-">
                  <c:v>2892435615.0569272</c:v>
                </c:pt>
                <c:pt idx="19" formatCode="_-* #.##0_-;\-* #.##0_-;_-* &quot;-&quot;??_-;_-@_-">
                  <c:v>2884368597.8851318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2-3749-B360-C239E247A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At val="400000000"/>
        <c:auto val="1"/>
        <c:lblAlgn val="ctr"/>
        <c:lblOffset val="100"/>
        <c:noMultiLvlLbl val="0"/>
      </c:catAx>
      <c:valAx>
        <c:axId val="1279404527"/>
        <c:scaling>
          <c:orientation val="minMax"/>
          <c:min val="270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  <c:majorUnit val="100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83002264195591"/>
          <c:y val="5.9042929746521138E-2"/>
          <c:w val="0.79191417300390454"/>
          <c:h val="0.63759897720909098"/>
        </c:manualLayout>
      </c:layout>
      <c:lineChart>
        <c:grouping val="standard"/>
        <c:varyColors val="0"/>
        <c:ser>
          <c:idx val="0"/>
          <c:order val="0"/>
          <c:tx>
            <c:strRef>
              <c:f>Somatória!$C$2:$V$2</c:f>
              <c:strCache>
                <c:ptCount val="20"/>
                <c:pt idx="0">
                  <c:v>01/Julho</c:v>
                </c:pt>
                <c:pt idx="1">
                  <c:v>05/Junho</c:v>
                </c:pt>
                <c:pt idx="2">
                  <c:v>04/Junho</c:v>
                </c:pt>
                <c:pt idx="3">
                  <c:v>03/Junho</c:v>
                </c:pt>
                <c:pt idx="4">
                  <c:v>02/Junho</c:v>
                </c:pt>
                <c:pt idx="5">
                  <c:v>01/Junho</c:v>
                </c:pt>
                <c:pt idx="6">
                  <c:v>04/Maio</c:v>
                </c:pt>
                <c:pt idx="7">
                  <c:v>03/Maio</c:v>
                </c:pt>
                <c:pt idx="8">
                  <c:v>02/Maio</c:v>
                </c:pt>
                <c:pt idx="9">
                  <c:v>01/Maio</c:v>
                </c:pt>
                <c:pt idx="10">
                  <c:v>05/Abril</c:v>
                </c:pt>
                <c:pt idx="11">
                  <c:v>04/Março</c:v>
                </c:pt>
                <c:pt idx="12">
                  <c:v>04/Fevereiro</c:v>
                </c:pt>
                <c:pt idx="13">
                  <c:v>04/Janeiro</c:v>
                </c:pt>
                <c:pt idx="14">
                  <c:v>05/Dezembro</c:v>
                </c:pt>
                <c:pt idx="15">
                  <c:v>04/Novembro</c:v>
                </c:pt>
                <c:pt idx="16">
                  <c:v>04/Outubro</c:v>
                </c:pt>
                <c:pt idx="17">
                  <c:v>04/Setembro</c:v>
                </c:pt>
                <c:pt idx="18">
                  <c:v>04/Agosto</c:v>
                </c:pt>
                <c:pt idx="19">
                  <c:v>04/Julho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Somatória!$C$2:$V$2</c:f>
              <c:strCache>
                <c:ptCount val="20"/>
                <c:pt idx="0">
                  <c:v>01/Julho</c:v>
                </c:pt>
                <c:pt idx="1">
                  <c:v>05/Junho</c:v>
                </c:pt>
                <c:pt idx="2">
                  <c:v>04/Junho</c:v>
                </c:pt>
                <c:pt idx="3">
                  <c:v>03/Junho</c:v>
                </c:pt>
                <c:pt idx="4">
                  <c:v>02/Junho</c:v>
                </c:pt>
                <c:pt idx="5">
                  <c:v>01/Junho</c:v>
                </c:pt>
                <c:pt idx="6">
                  <c:v>04/Maio</c:v>
                </c:pt>
                <c:pt idx="7">
                  <c:v>03/Maio</c:v>
                </c:pt>
                <c:pt idx="8">
                  <c:v>02/Maio</c:v>
                </c:pt>
                <c:pt idx="9">
                  <c:v>01/Maio</c:v>
                </c:pt>
                <c:pt idx="10">
                  <c:v>05/Abril</c:v>
                </c:pt>
                <c:pt idx="11">
                  <c:v>04/Março</c:v>
                </c:pt>
                <c:pt idx="12">
                  <c:v>04/Fevereiro</c:v>
                </c:pt>
                <c:pt idx="13">
                  <c:v>04/Janeiro</c:v>
                </c:pt>
                <c:pt idx="14">
                  <c:v>05/Dezembro</c:v>
                </c:pt>
                <c:pt idx="15">
                  <c:v>04/Novembro</c:v>
                </c:pt>
                <c:pt idx="16">
                  <c:v>04/Outubro</c:v>
                </c:pt>
                <c:pt idx="17">
                  <c:v>04/Setembro</c:v>
                </c:pt>
                <c:pt idx="18">
                  <c:v>04/Agosto</c:v>
                </c:pt>
                <c:pt idx="19">
                  <c:v>04/Julho</c:v>
                </c:pt>
              </c:strCache>
            </c:strRef>
          </c:cat>
          <c:val>
            <c:numRef>
              <c:f>Somatória!$C$26:$V$26</c:f>
              <c:numCache>
                <c:formatCode>General</c:formatCode>
                <c:ptCount val="20"/>
                <c:pt idx="0">
                  <c:v>2442202892.0100002</c:v>
                </c:pt>
                <c:pt idx="1">
                  <c:v>2435493074.02</c:v>
                </c:pt>
                <c:pt idx="2">
                  <c:v>2432102852.8200002</c:v>
                </c:pt>
                <c:pt idx="3">
                  <c:v>2426681734.4799995</c:v>
                </c:pt>
                <c:pt idx="4">
                  <c:v>2418004262.4000001</c:v>
                </c:pt>
                <c:pt idx="5">
                  <c:v>2409631815.8800001</c:v>
                </c:pt>
                <c:pt idx="6">
                  <c:v>2411056277.5500002</c:v>
                </c:pt>
                <c:pt idx="7">
                  <c:v>2407622716.9899998</c:v>
                </c:pt>
                <c:pt idx="8">
                  <c:v>2405296463.1500001</c:v>
                </c:pt>
                <c:pt idx="9">
                  <c:v>2395834146.2200003</c:v>
                </c:pt>
                <c:pt idx="10">
                  <c:v>2390076461.7799997</c:v>
                </c:pt>
                <c:pt idx="11">
                  <c:v>2358987689.6599998</c:v>
                </c:pt>
                <c:pt idx="12" formatCode="_-* #.##0_-;\-* #.##0_-;_-* &quot;-&quot;??_-;_-@_-">
                  <c:v>2345192562.6700001</c:v>
                </c:pt>
                <c:pt idx="13" formatCode="_-* #.##0_-;\-* #.##0_-;_-* &quot;-&quot;??_-;_-@_-">
                  <c:v>2333129232.9900002</c:v>
                </c:pt>
                <c:pt idx="14" formatCode="_-* #.##0_-;\-* #.##0_-;_-* &quot;-&quot;??_-;_-@_-">
                  <c:v>2295127222.3600001</c:v>
                </c:pt>
                <c:pt idx="15" formatCode="_-* #.##0_-;\-* #.##0_-;_-* &quot;-&quot;??_-;_-@_-">
                  <c:v>2271014228.1299996</c:v>
                </c:pt>
                <c:pt idx="16" formatCode="_-* #.##0_-;\-* #.##0_-;_-* &quot;-&quot;??_-;_-@_-">
                  <c:v>2247964340.5899997</c:v>
                </c:pt>
                <c:pt idx="17" formatCode="_-* #.##0_-;\-* #.##0_-;_-* &quot;-&quot;??_-;_-@_-">
                  <c:v>2224848776.8799996</c:v>
                </c:pt>
                <c:pt idx="18" formatCode="_-* #.##0_-;\-* #.##0_-;_-* &quot;-&quot;??_-;_-@_-">
                  <c:v>2195911180.0100002</c:v>
                </c:pt>
                <c:pt idx="19" formatCode="_-* #.##0_-;\-* #.##0_-;_-* &quot;-&quot;??_-;_-@_-">
                  <c:v>2177545979.2200003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C-C24B-8313-972C2BB84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 val="autoZero"/>
        <c:auto val="1"/>
        <c:lblAlgn val="ctr"/>
        <c:lblOffset val="100"/>
        <c:noMultiLvlLbl val="0"/>
      </c:catAx>
      <c:valAx>
        <c:axId val="1279404527"/>
        <c:scaling>
          <c:orientation val="minMax"/>
          <c:min val="200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</c:valAx>
      <c:spPr>
        <a:blipFill dpi="0" rotWithShape="1">
          <a:blip xmlns:r="http://schemas.openxmlformats.org/officeDocument/2006/relationships" r:embed="rId3">
            <a:alphaModFix amt="26647"/>
          </a:blip>
          <a:srcRect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Somatória!$C$11:$V$11</c:f>
              <c:strCache>
                <c:ptCount val="20"/>
                <c:pt idx="0">
                  <c:v>01/Julho</c:v>
                </c:pt>
                <c:pt idx="1">
                  <c:v>05/Junho</c:v>
                </c:pt>
                <c:pt idx="2">
                  <c:v>04/Junho</c:v>
                </c:pt>
                <c:pt idx="3">
                  <c:v>03/Junho</c:v>
                </c:pt>
                <c:pt idx="4">
                  <c:v>02/Junho</c:v>
                </c:pt>
                <c:pt idx="5">
                  <c:v>01/Junho</c:v>
                </c:pt>
                <c:pt idx="6">
                  <c:v>04/Maio</c:v>
                </c:pt>
                <c:pt idx="7">
                  <c:v>03/Maio</c:v>
                </c:pt>
                <c:pt idx="8">
                  <c:v>02/Maio</c:v>
                </c:pt>
                <c:pt idx="9">
                  <c:v>01/Maio</c:v>
                </c:pt>
                <c:pt idx="10">
                  <c:v>05/Abril</c:v>
                </c:pt>
                <c:pt idx="11">
                  <c:v>04/Março</c:v>
                </c:pt>
                <c:pt idx="12">
                  <c:v>04/Fevereiro</c:v>
                </c:pt>
                <c:pt idx="13">
                  <c:v>04/Janeiro</c:v>
                </c:pt>
                <c:pt idx="14">
                  <c:v>05/Dezembro</c:v>
                </c:pt>
                <c:pt idx="15">
                  <c:v>04/Novembro</c:v>
                </c:pt>
                <c:pt idx="16">
                  <c:v>04/Outubro</c:v>
                </c:pt>
                <c:pt idx="17">
                  <c:v>04/Setembro</c:v>
                </c:pt>
                <c:pt idx="18">
                  <c:v>04/Agosto</c:v>
                </c:pt>
                <c:pt idx="19">
                  <c:v>04/Julho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Somatória!$C$2:$V$2</c:f>
              <c:strCache>
                <c:ptCount val="20"/>
                <c:pt idx="0">
                  <c:v>01/Julho</c:v>
                </c:pt>
                <c:pt idx="1">
                  <c:v>05/Junho</c:v>
                </c:pt>
                <c:pt idx="2">
                  <c:v>04/Junho</c:v>
                </c:pt>
                <c:pt idx="3">
                  <c:v>03/Junho</c:v>
                </c:pt>
                <c:pt idx="4">
                  <c:v>02/Junho</c:v>
                </c:pt>
                <c:pt idx="5">
                  <c:v>01/Junho</c:v>
                </c:pt>
                <c:pt idx="6">
                  <c:v>04/Maio</c:v>
                </c:pt>
                <c:pt idx="7">
                  <c:v>03/Maio</c:v>
                </c:pt>
                <c:pt idx="8">
                  <c:v>02/Maio</c:v>
                </c:pt>
                <c:pt idx="9">
                  <c:v>01/Maio</c:v>
                </c:pt>
                <c:pt idx="10">
                  <c:v>05/Abril</c:v>
                </c:pt>
                <c:pt idx="11">
                  <c:v>04/Março</c:v>
                </c:pt>
                <c:pt idx="12">
                  <c:v>04/Fevereiro</c:v>
                </c:pt>
                <c:pt idx="13">
                  <c:v>04/Janeiro</c:v>
                </c:pt>
                <c:pt idx="14">
                  <c:v>05/Dezembro</c:v>
                </c:pt>
                <c:pt idx="15">
                  <c:v>04/Novembro</c:v>
                </c:pt>
                <c:pt idx="16">
                  <c:v>04/Outubro</c:v>
                </c:pt>
                <c:pt idx="17">
                  <c:v>04/Setembro</c:v>
                </c:pt>
                <c:pt idx="18">
                  <c:v>04/Agosto</c:v>
                </c:pt>
                <c:pt idx="19">
                  <c:v>04/Julho</c:v>
                </c:pt>
              </c:strCache>
            </c:strRef>
          </c:cat>
          <c:val>
            <c:numRef>
              <c:f>Somatória!$C$15:$V$15</c:f>
              <c:numCache>
                <c:formatCode>General</c:formatCode>
                <c:ptCount val="20"/>
                <c:pt idx="0">
                  <c:v>147226208.17218137</c:v>
                </c:pt>
                <c:pt idx="1">
                  <c:v>147226208.17218137</c:v>
                </c:pt>
                <c:pt idx="2">
                  <c:v>147226208.17218137</c:v>
                </c:pt>
                <c:pt idx="3">
                  <c:v>147226208.17218137</c:v>
                </c:pt>
                <c:pt idx="4">
                  <c:v>147226208.17218137</c:v>
                </c:pt>
                <c:pt idx="5">
                  <c:v>147226208.17218137</c:v>
                </c:pt>
                <c:pt idx="6">
                  <c:v>147226208.17218137</c:v>
                </c:pt>
                <c:pt idx="7">
                  <c:v>147226208.17218137</c:v>
                </c:pt>
                <c:pt idx="8">
                  <c:v>142928399.69156998</c:v>
                </c:pt>
                <c:pt idx="9">
                  <c:v>142928399.69156998</c:v>
                </c:pt>
                <c:pt idx="10">
                  <c:v>142928399.69156998</c:v>
                </c:pt>
                <c:pt idx="11">
                  <c:v>133873608.37580818</c:v>
                </c:pt>
                <c:pt idx="12" formatCode="_-* #.##0_-;\-* #.##0_-;_-* &quot;-&quot;??_-;_-@_-">
                  <c:v>139950615.67223063</c:v>
                </c:pt>
                <c:pt idx="13" formatCode="_-* #.##0_-;\-* #.##0_-;_-* &quot;-&quot;??_-;_-@_-">
                  <c:v>138161808.50682876</c:v>
                </c:pt>
                <c:pt idx="14" formatCode="_-* #.##0_-;\-* #.##0_-;_-* &quot;-&quot;??_-;_-@_-">
                  <c:v>134056646.97828791</c:v>
                </c:pt>
                <c:pt idx="15" formatCode="_-* #.##0_-;\-* #.##0_-;_-* &quot;-&quot;??_-;_-@_-">
                  <c:v>134109695.81459738</c:v>
                </c:pt>
                <c:pt idx="16" formatCode="_-* #.##0_-;\-* #.##0_-;_-* &quot;-&quot;??_-;_-@_-">
                  <c:v>133149254.09693986</c:v>
                </c:pt>
                <c:pt idx="17" formatCode="_-* #.##0_-;\-* #.##0_-;_-* &quot;-&quot;??_-;_-@_-">
                  <c:v>131265644.44962728</c:v>
                </c:pt>
                <c:pt idx="18" formatCode="_-* #.##0_-;\-* #.##0_-;_-* &quot;-&quot;??_-;_-@_-">
                  <c:v>127937272.63128272</c:v>
                </c:pt>
                <c:pt idx="19" formatCode="_-* #.##0_-;\-* #.##0_-;_-* &quot;-&quot;??_-;_-@_-">
                  <c:v>125273440.21058296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76-A749-89D9-917AD3850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 val="autoZero"/>
        <c:auto val="1"/>
        <c:lblAlgn val="ctr"/>
        <c:lblOffset val="100"/>
        <c:noMultiLvlLbl val="0"/>
      </c:catAx>
      <c:valAx>
        <c:axId val="1279404527"/>
        <c:scaling>
          <c:orientation val="minMax"/>
          <c:min val="11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</c:valAx>
      <c:spPr>
        <a:blipFill>
          <a:blip xmlns:r="http://schemas.openxmlformats.org/officeDocument/2006/relationships" r:embed="rId3">
            <a:alphaModFix amt="26647"/>
          </a:blip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13027</xdr:colOff>
      <xdr:row>0</xdr:row>
      <xdr:rowOff>48846</xdr:rowOff>
    </xdr:from>
    <xdr:to>
      <xdr:col>15</xdr:col>
      <xdr:colOff>780784</xdr:colOff>
      <xdr:row>3</xdr:row>
      <xdr:rowOff>135687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44ACEE7-ADA4-3F48-BB30-5B14FAB9D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7610" y="48846"/>
          <a:ext cx="781092" cy="767984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93785</xdr:rowOff>
    </xdr:from>
    <xdr:to>
      <xdr:col>15</xdr:col>
      <xdr:colOff>485775</xdr:colOff>
      <xdr:row>51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38E76CB-1B55-914B-98CC-F1822CFE2880}"/>
            </a:ext>
            <a:ext uri="{147F2762-F138-4A5C-976F-8EAC2B608ADB}">
              <a16:predDERef xmlns:a16="http://schemas.microsoft.com/office/drawing/2014/main" pred="{944ACEE7-ADA4-3F48-BB30-5B14FAB9D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255790</xdr:colOff>
      <xdr:row>3</xdr:row>
      <xdr:rowOff>173328</xdr:rowOff>
    </xdr:from>
    <xdr:to>
      <xdr:col>3</xdr:col>
      <xdr:colOff>114300</xdr:colOff>
      <xdr:row>6</xdr:row>
      <xdr:rowOff>174018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D087AC8-9D0E-3747-9E89-09D77C4D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873" y="850661"/>
          <a:ext cx="959177" cy="611560"/>
        </a:xfrm>
        <a:prstGeom prst="rect">
          <a:avLst/>
        </a:prstGeom>
      </xdr:spPr>
    </xdr:pic>
    <xdr:clientData/>
  </xdr:twoCellAnchor>
  <xdr:twoCellAnchor editAs="oneCell">
    <xdr:from>
      <xdr:col>10</xdr:col>
      <xdr:colOff>39077</xdr:colOff>
      <xdr:row>3</xdr:row>
      <xdr:rowOff>122489</xdr:rowOff>
    </xdr:from>
    <xdr:to>
      <xdr:col>11</xdr:col>
      <xdr:colOff>133190</xdr:colOff>
      <xdr:row>6</xdr:row>
      <xdr:rowOff>152400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5B0001B-4B9B-6C40-A3FD-FB408FD8F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0660" y="799822"/>
          <a:ext cx="975281" cy="633161"/>
        </a:xfrm>
        <a:prstGeom prst="rect">
          <a:avLst/>
        </a:prstGeom>
      </xdr:spPr>
    </xdr:pic>
    <xdr:clientData/>
  </xdr:twoCellAnchor>
  <xdr:twoCellAnchor>
    <xdr:from>
      <xdr:col>2</xdr:col>
      <xdr:colOff>29307</xdr:colOff>
      <xdr:row>23</xdr:row>
      <xdr:rowOff>19538</xdr:rowOff>
    </xdr:from>
    <xdr:to>
      <xdr:col>7</xdr:col>
      <xdr:colOff>810847</xdr:colOff>
      <xdr:row>34</xdr:row>
      <xdr:rowOff>166077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6760052-0B4E-CF4D-BC2E-B6822AE21F99}"/>
            </a:ext>
            <a:ext uri="{147F2762-F138-4A5C-976F-8EAC2B608ADB}">
              <a16:predDERef xmlns:a16="http://schemas.microsoft.com/office/drawing/2014/main" pred="{E5B0001B-4B9B-6C40-A3FD-FB408FD8F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9770</xdr:colOff>
      <xdr:row>23</xdr:row>
      <xdr:rowOff>19539</xdr:rowOff>
    </xdr:from>
    <xdr:to>
      <xdr:col>15</xdr:col>
      <xdr:colOff>449384</xdr:colOff>
      <xdr:row>34</xdr:row>
      <xdr:rowOff>195385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7C8290D-DE03-104C-8AF5-1242CCA66892}"/>
            </a:ext>
            <a:ext uri="{147F2762-F138-4A5C-976F-8EAC2B608ADB}">
              <a16:predDERef xmlns:a16="http://schemas.microsoft.com/office/drawing/2014/main" pred="{B6760052-0B4E-CF4D-BC2E-B6822AE21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209550</xdr:colOff>
      <xdr:row>12</xdr:row>
      <xdr:rowOff>180975</xdr:rowOff>
    </xdr:from>
    <xdr:to>
      <xdr:col>3</xdr:col>
      <xdr:colOff>74410</xdr:colOff>
      <xdr:row>15</xdr:row>
      <xdr:rowOff>186745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BB9C5D58-5E01-4F41-8B48-C1F846B87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3" y="2847975"/>
          <a:ext cx="965527" cy="609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25E8A6-52CF-46DC-A4D2-0DD0745E4FD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ccba2a3-24d7-4912-b652-31fed774382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ECE0-1BF6-4A48-A055-873C27E250C9}">
  <sheetPr>
    <pageSetUpPr fitToPage="1"/>
  </sheetPr>
  <dimension ref="A1:R59"/>
  <sheetViews>
    <sheetView showGridLines="0" tabSelected="1" topLeftCell="A12" zoomScale="85" zoomScaleNormal="85" workbookViewId="0">
      <selection activeCell="G8" sqref="G8"/>
    </sheetView>
  </sheetViews>
  <sheetFormatPr defaultColWidth="11" defaultRowHeight="15.75" x14ac:dyDescent="0.25"/>
  <cols>
    <col min="2" max="2" width="3.5" customWidth="1"/>
    <col min="4" max="4" width="19.375" customWidth="1"/>
    <col min="5" max="5" width="12.25" bestFit="1" customWidth="1"/>
    <col min="6" max="6" width="11.25" bestFit="1" customWidth="1"/>
    <col min="7" max="7" width="14.875" bestFit="1" customWidth="1"/>
    <col min="8" max="8" width="14.25" bestFit="1" customWidth="1"/>
    <col min="9" max="10" width="5.875" customWidth="1"/>
    <col min="11" max="11" width="11.375" customWidth="1"/>
    <col min="12" max="12" width="19.375" customWidth="1"/>
    <col min="15" max="15" width="12.25" bestFit="1" customWidth="1"/>
    <col min="16" max="16" width="14.75" customWidth="1"/>
    <col min="17" max="17" width="3.875" customWidth="1"/>
  </cols>
  <sheetData>
    <row r="1" spans="3:16" ht="9.9499999999999993" customHeight="1" x14ac:dyDescent="0.25"/>
    <row r="2" spans="3:16" ht="28.5" x14ac:dyDescent="0.45">
      <c r="C2" s="12" t="s">
        <v>0</v>
      </c>
    </row>
    <row r="3" spans="3:16" ht="15" customHeight="1" x14ac:dyDescent="0.25">
      <c r="C3" s="25" t="s">
        <v>1</v>
      </c>
    </row>
    <row r="5" spans="3:16" x14ac:dyDescent="0.25">
      <c r="C5" s="3"/>
      <c r="D5" s="2" t="s">
        <v>2</v>
      </c>
      <c r="K5" s="3"/>
      <c r="L5" s="2" t="s">
        <v>3</v>
      </c>
    </row>
    <row r="6" spans="3:16" x14ac:dyDescent="0.25">
      <c r="E6" s="37" t="s">
        <v>4</v>
      </c>
      <c r="F6" s="37"/>
      <c r="G6" s="37"/>
      <c r="H6" s="37"/>
      <c r="I6" s="1"/>
      <c r="J6" s="23"/>
      <c r="L6" s="1"/>
      <c r="M6" s="38" t="s">
        <v>5</v>
      </c>
      <c r="N6" s="39"/>
      <c r="O6" s="39"/>
      <c r="P6" s="40"/>
    </row>
    <row r="7" spans="3:16" x14ac:dyDescent="0.25">
      <c r="D7" s="2" t="str">
        <f>Somatória!C2</f>
        <v>01/Julho</v>
      </c>
      <c r="E7" s="5" t="s">
        <v>6</v>
      </c>
      <c r="F7" s="5" t="s">
        <v>7</v>
      </c>
      <c r="G7" s="5" t="s">
        <v>8</v>
      </c>
      <c r="H7" s="5" t="s">
        <v>9</v>
      </c>
      <c r="I7" s="1"/>
      <c r="J7" s="23"/>
      <c r="L7" s="2" t="str">
        <f>D7</f>
        <v>01/Julho</v>
      </c>
      <c r="M7" s="5" t="s">
        <v>6</v>
      </c>
      <c r="N7" s="5" t="s">
        <v>7</v>
      </c>
      <c r="O7" s="5" t="s">
        <v>8</v>
      </c>
      <c r="P7" s="5" t="s">
        <v>9</v>
      </c>
    </row>
    <row r="8" spans="3:16" ht="18.75" x14ac:dyDescent="0.3">
      <c r="C8" t="s">
        <v>10</v>
      </c>
      <c r="D8" s="16">
        <f>Somatória!C3</f>
        <v>29278.43</v>
      </c>
      <c r="E8" s="17">
        <f>Somatória!C3/Somatória!D3-1</f>
        <v>-0.73244007268370059</v>
      </c>
      <c r="F8" s="17">
        <f>Somatória!C3/Somatória!G3-1</f>
        <v>-0.34207490321600609</v>
      </c>
      <c r="G8" s="17">
        <f>Somatória!C3/Somatória!L3-1</f>
        <v>-0.54940636337585369</v>
      </c>
      <c r="H8" s="17">
        <f>Somatória!C3/Somatória!V3-1</f>
        <v>-0.53621333683092853</v>
      </c>
      <c r="I8" s="17"/>
      <c r="J8" s="23"/>
      <c r="K8" t="s">
        <v>10</v>
      </c>
      <c r="L8" s="20">
        <f>Somatória!C12</f>
        <v>12245513.59</v>
      </c>
      <c r="M8" s="17">
        <f>Somatória!C12/Somatória!D12-1</f>
        <v>0</v>
      </c>
      <c r="N8" s="17">
        <f>Somatória!C12/Somatória!G12-1</f>
        <v>0</v>
      </c>
      <c r="O8" s="17">
        <f>Somatória!C12/Somatória!L12-1</f>
        <v>3.0653135741942616E-3</v>
      </c>
      <c r="P8" s="17">
        <f>Somatória!C12/Somatória!V12-1</f>
        <v>4.204454322890383E-2</v>
      </c>
    </row>
    <row r="9" spans="3:16" ht="18.75" x14ac:dyDescent="0.3">
      <c r="C9" t="s">
        <v>11</v>
      </c>
      <c r="D9" s="16">
        <f>Somatória!C4</f>
        <v>2141297636.4300001</v>
      </c>
      <c r="E9" s="17">
        <f>Somatória!C4/Somatória!D4-1</f>
        <v>2.6438065282772261E-3</v>
      </c>
      <c r="F9" s="17">
        <f>Somatória!C4/Somatória!G4-1</f>
        <v>9.994065032250532E-3</v>
      </c>
      <c r="G9" s="17">
        <f>Somatória!C4/Somatória!L4-1</f>
        <v>2.0820793539598537E-2</v>
      </c>
      <c r="H9" s="17">
        <f>Somatória!C4/Somatória!V4-1</f>
        <v>0.12923399639630651</v>
      </c>
      <c r="I9" s="17"/>
      <c r="J9" s="23"/>
      <c r="K9" t="s">
        <v>11</v>
      </c>
      <c r="L9" s="20">
        <f>Somatória!C13</f>
        <v>133488761.79803766</v>
      </c>
      <c r="M9" s="17">
        <f>Somatória!C13/Somatória!D13-1</f>
        <v>0</v>
      </c>
      <c r="N9" s="17">
        <f>Somatória!C13/Somatória!G13-1</f>
        <v>0</v>
      </c>
      <c r="O9" s="17">
        <f>Somatória!C13/Somatória!L13-1</f>
        <v>3.2619878350069742E-2</v>
      </c>
      <c r="P9" s="17">
        <f>Somatória!C13/Somatória!V13-1</f>
        <v>0.18918257038389186</v>
      </c>
    </row>
    <row r="10" spans="3:16" ht="18.75" x14ac:dyDescent="0.3">
      <c r="D10" s="16"/>
      <c r="E10" s="18"/>
      <c r="F10" s="18"/>
      <c r="G10" s="18"/>
      <c r="H10" s="18"/>
      <c r="I10" s="18"/>
      <c r="J10" s="23"/>
      <c r="L10" s="20"/>
      <c r="M10" s="17"/>
      <c r="N10" s="17"/>
      <c r="O10" s="18"/>
      <c r="P10" s="18"/>
    </row>
    <row r="11" spans="3:16" ht="18.75" x14ac:dyDescent="0.3">
      <c r="C11" t="s">
        <v>12</v>
      </c>
      <c r="D11" s="16">
        <f>SUM(D8:D10)</f>
        <v>2141326914.8600001</v>
      </c>
      <c r="E11" s="19">
        <f>Somatória!C6/Somatória!D6-1</f>
        <v>2.6061438673949944E-3</v>
      </c>
      <c r="F11" s="19">
        <f>Somatória!C6/Somatória!G6-1</f>
        <v>9.9866752481931886E-3</v>
      </c>
      <c r="G11" s="19">
        <f>Somatória!C6/Somatória!L6-1</f>
        <v>2.080313032910186E-2</v>
      </c>
      <c r="H11" s="19">
        <f>Somatória!C6/Somatória!V6-1</f>
        <v>0.12921184323720092</v>
      </c>
      <c r="I11" s="22"/>
      <c r="J11" s="23"/>
      <c r="K11" t="s">
        <v>12</v>
      </c>
      <c r="L11" s="20">
        <f>SUM(L8:L10)</f>
        <v>145734275.38803765</v>
      </c>
      <c r="M11" s="19">
        <f>Somatória!C15/Somatória!D15-1</f>
        <v>0</v>
      </c>
      <c r="N11" s="19">
        <f>Somatória!C15/Somatória!G15-1</f>
        <v>0</v>
      </c>
      <c r="O11" s="19">
        <f>Somatória!C15/Somatória!L15-1</f>
        <v>3.0069660682451982E-2</v>
      </c>
      <c r="P11" s="19">
        <f>Somatória!C15/Somatória!V15-1</f>
        <v>0.1752388050068403</v>
      </c>
    </row>
    <row r="12" spans="3:16" ht="16.5" thickBot="1" x14ac:dyDescent="0.3">
      <c r="C12" s="4"/>
      <c r="D12" s="8"/>
      <c r="E12" s="4"/>
      <c r="F12" s="4"/>
      <c r="G12" s="4"/>
      <c r="H12" s="4"/>
      <c r="J12" s="23"/>
      <c r="K12" s="4"/>
      <c r="L12" s="4"/>
      <c r="M12" s="4"/>
      <c r="N12" s="4"/>
      <c r="O12" s="4"/>
      <c r="P12" s="4"/>
    </row>
    <row r="13" spans="3:16" x14ac:dyDescent="0.25">
      <c r="D13" s="1"/>
      <c r="J13" s="23"/>
    </row>
    <row r="14" spans="3:16" x14ac:dyDescent="0.25">
      <c r="C14" s="3"/>
      <c r="D14" s="2" t="s">
        <v>13</v>
      </c>
      <c r="J14" s="23"/>
      <c r="K14" s="3" t="s">
        <v>14</v>
      </c>
    </row>
    <row r="15" spans="3:16" x14ac:dyDescent="0.25">
      <c r="D15" s="1"/>
      <c r="E15" s="37" t="s">
        <v>4</v>
      </c>
      <c r="F15" s="37"/>
      <c r="G15" s="37"/>
      <c r="H15" s="37"/>
      <c r="I15" s="1"/>
      <c r="J15" s="23"/>
      <c r="L15" s="1"/>
      <c r="M15" s="38" t="s">
        <v>4</v>
      </c>
      <c r="N15" s="39"/>
      <c r="O15" s="39"/>
      <c r="P15" s="40"/>
    </row>
    <row r="16" spans="3:16" x14ac:dyDescent="0.25">
      <c r="D16" s="2" t="str">
        <f>D7</f>
        <v>01/Julho</v>
      </c>
      <c r="E16" s="5" t="s">
        <v>6</v>
      </c>
      <c r="F16" s="5" t="s">
        <v>7</v>
      </c>
      <c r="G16" s="5" t="s">
        <v>8</v>
      </c>
      <c r="H16" s="5" t="s">
        <v>9</v>
      </c>
      <c r="I16" s="1"/>
      <c r="J16" s="23"/>
      <c r="L16" s="2" t="str">
        <f>D7</f>
        <v>01/Julho</v>
      </c>
      <c r="M16" s="5" t="s">
        <v>6</v>
      </c>
      <c r="N16" s="5" t="s">
        <v>7</v>
      </c>
      <c r="O16" s="5" t="s">
        <v>8</v>
      </c>
      <c r="P16" s="5" t="s">
        <v>9</v>
      </c>
    </row>
    <row r="17" spans="1:16" ht="18.75" x14ac:dyDescent="0.3">
      <c r="A17" s="36"/>
      <c r="B17" s="36"/>
      <c r="C17" t="s">
        <v>10</v>
      </c>
      <c r="D17" s="16">
        <f>Somatória!C21</f>
        <v>765751.11</v>
      </c>
      <c r="E17" s="17">
        <f>Somatória!C21/Somatória!D21-1</f>
        <v>25.769684560407981</v>
      </c>
      <c r="F17" s="17">
        <f>Somatória!C21/Somatória!G21-1</f>
        <v>24.52418619379354</v>
      </c>
      <c r="G17" s="17">
        <f>Somatória!C21/Somatória!L21-1</f>
        <v>22.979900128518924</v>
      </c>
      <c r="H17" s="17">
        <f>Somatória!C21/Somatória!V21-1</f>
        <v>24.493586412229448</v>
      </c>
      <c r="I17" s="17"/>
      <c r="J17" s="23"/>
      <c r="K17" t="s">
        <v>10</v>
      </c>
      <c r="L17" s="16">
        <f>Somatória!C30</f>
        <v>63614514.256699994</v>
      </c>
      <c r="M17" s="17">
        <f>Somatória!C30/Somatória!D30-1</f>
        <v>-3.1370377150048423E-3</v>
      </c>
      <c r="N17" s="17">
        <f>Somatória!C30/Somatória!G30-1</f>
        <v>2.5431893775393455E-2</v>
      </c>
      <c r="O17" s="17">
        <f>Somatória!C30/Somatória!L30-1</f>
        <v>6.3886065411379089E-2</v>
      </c>
      <c r="P17" s="17">
        <f>Somatória!C30/Somatória!V30-1</f>
        <v>-5.1609918752767769E-2</v>
      </c>
    </row>
    <row r="18" spans="1:16" ht="18.75" customHeight="1" x14ac:dyDescent="0.3">
      <c r="A18" s="36"/>
      <c r="B18" s="36"/>
      <c r="C18" t="s">
        <v>11</v>
      </c>
      <c r="D18" s="16">
        <f>Somatória!C22</f>
        <v>300110226.03999996</v>
      </c>
      <c r="E18" s="17">
        <f>Somatória!C22/Somatória!D22-1</f>
        <v>1.3565803574346891E-3</v>
      </c>
      <c r="F18" s="17">
        <f>Somatória!C22/Somatória!G22-1</f>
        <v>7.687827778220413E-3</v>
      </c>
      <c r="G18" s="17">
        <f>Somatória!C22/Somatória!L22-1</f>
        <v>6.6969125430651477E-3</v>
      </c>
      <c r="H18" s="17">
        <f>Somatória!C22/Somatória!V22-1</f>
        <v>6.719620197522036E-2</v>
      </c>
      <c r="I18" s="17"/>
      <c r="J18" s="23"/>
      <c r="K18" t="s">
        <v>11</v>
      </c>
      <c r="L18" s="16">
        <f>Somatória!C31</f>
        <v>3126205210.4939332</v>
      </c>
      <c r="M18" s="17">
        <f>Somatória!C31/Somatória!D31-1</f>
        <v>-1.0517321389885703E-3</v>
      </c>
      <c r="N18" s="17">
        <f>Somatória!C31/Somatória!G31-1</f>
        <v>1.061049235436462E-2</v>
      </c>
      <c r="O18" s="17">
        <f>Somatória!C31/Somatória!L31-1</f>
        <v>3.2474321706847054E-2</v>
      </c>
      <c r="P18" s="17">
        <f>Somatória!C31/Somatória!V31-1</f>
        <v>0.10964887538353407</v>
      </c>
    </row>
    <row r="19" spans="1:16" ht="18.75" x14ac:dyDescent="0.3">
      <c r="A19" s="36"/>
      <c r="B19" s="36"/>
      <c r="D19" s="21"/>
      <c r="E19" s="17"/>
      <c r="F19" s="18"/>
      <c r="G19" s="18"/>
      <c r="H19" s="18"/>
      <c r="I19" s="18"/>
      <c r="J19" s="23"/>
      <c r="L19" s="16"/>
      <c r="M19" s="17"/>
      <c r="N19" s="17"/>
      <c r="O19" s="18"/>
      <c r="P19" s="18"/>
    </row>
    <row r="20" spans="1:16" ht="18.75" x14ac:dyDescent="0.3">
      <c r="A20" s="36"/>
      <c r="B20" s="36"/>
      <c r="C20" t="s">
        <v>12</v>
      </c>
      <c r="D20" s="16">
        <f>SUM(D17:D19)</f>
        <v>300875977.14999998</v>
      </c>
      <c r="E20" s="19">
        <f>Somatória!C24/Somatória!D24-1</f>
        <v>3.8157989513576407E-3</v>
      </c>
      <c r="F20" s="19">
        <f>Somatória!C24/Somatória!G24-1</f>
        <v>1.0157251661275568E-2</v>
      </c>
      <c r="G20" s="19">
        <f>Somatória!C24/Somatória!L24-1</f>
        <v>9.1574684895368019E-3</v>
      </c>
      <c r="H20" s="19">
        <f>Somatória!C24/Somatória!V24-1</f>
        <v>6.9804955695481175E-2</v>
      </c>
      <c r="I20" s="22"/>
      <c r="J20" s="23"/>
      <c r="K20" t="s">
        <v>12</v>
      </c>
      <c r="L20" s="16">
        <f>SUM(L17:L19)</f>
        <v>3189819724.7506332</v>
      </c>
      <c r="M20" s="19">
        <f>Somatória!C32/Somatória!D32-1</f>
        <v>-1.0934046049818624E-3</v>
      </c>
      <c r="N20" s="19">
        <f>Somatória!C32/Somatória!G32-1</f>
        <v>1.0901886976321773E-2</v>
      </c>
      <c r="O20" s="19">
        <f>Somatória!C32/Somatória!L32-1</f>
        <v>3.3082627649652308E-2</v>
      </c>
      <c r="P20" s="19">
        <f>Somatória!C32/Somatória!V32-1</f>
        <v>0.10589878391044172</v>
      </c>
    </row>
    <row r="21" spans="1:16" ht="16.5" thickBot="1" x14ac:dyDescent="0.3">
      <c r="A21" s="33"/>
      <c r="B21" s="33"/>
      <c r="C21" s="4"/>
      <c r="D21" s="8"/>
      <c r="E21" s="4"/>
      <c r="F21" s="4"/>
      <c r="G21" s="4"/>
      <c r="H21" s="4"/>
      <c r="J21" s="23"/>
      <c r="K21" s="4" t="s">
        <v>15</v>
      </c>
      <c r="L21" s="24">
        <v>5.13</v>
      </c>
      <c r="M21" s="4"/>
      <c r="N21" s="4"/>
      <c r="O21" s="4"/>
      <c r="P21" s="4"/>
    </row>
    <row r="22" spans="1:16" x14ac:dyDescent="0.25">
      <c r="A22" s="33"/>
      <c r="B22" s="33"/>
      <c r="D22" s="1"/>
    </row>
    <row r="23" spans="1:16" x14ac:dyDescent="0.25">
      <c r="C23" t="s">
        <v>16</v>
      </c>
      <c r="K23" t="s">
        <v>3</v>
      </c>
    </row>
    <row r="24" spans="1:16" x14ac:dyDescent="0.25">
      <c r="C24" s="3"/>
    </row>
    <row r="25" spans="1:16" x14ac:dyDescent="0.25">
      <c r="C25" s="3"/>
    </row>
    <row r="26" spans="1:16" x14ac:dyDescent="0.25">
      <c r="C26" s="3"/>
    </row>
    <row r="27" spans="1:16" x14ac:dyDescent="0.25">
      <c r="C27" s="3"/>
    </row>
    <row r="28" spans="1:16" x14ac:dyDescent="0.25">
      <c r="C28" s="3"/>
    </row>
    <row r="29" spans="1:16" x14ac:dyDescent="0.25">
      <c r="C29" s="3"/>
    </row>
    <row r="30" spans="1:16" x14ac:dyDescent="0.25">
      <c r="C30" s="3"/>
    </row>
    <row r="31" spans="1:16" x14ac:dyDescent="0.25">
      <c r="C31" s="3"/>
    </row>
    <row r="32" spans="1:16" x14ac:dyDescent="0.25">
      <c r="C32" s="3"/>
    </row>
    <row r="33" spans="3:18" x14ac:dyDescent="0.25">
      <c r="C33" s="3"/>
    </row>
    <row r="34" spans="3:18" x14ac:dyDescent="0.25">
      <c r="C34" s="3"/>
    </row>
    <row r="35" spans="3:18" x14ac:dyDescent="0.25">
      <c r="C35" s="3"/>
    </row>
    <row r="36" spans="3:18" x14ac:dyDescent="0.25">
      <c r="C36" s="3"/>
    </row>
    <row r="37" spans="3:18" x14ac:dyDescent="0.25">
      <c r="C37" s="3" t="s">
        <v>17</v>
      </c>
      <c r="R37" t="s">
        <v>72</v>
      </c>
    </row>
    <row r="51" spans="13:16" ht="3.95" customHeight="1" x14ac:dyDescent="0.25"/>
    <row r="53" spans="13:16" x14ac:dyDescent="0.25">
      <c r="M53" s="27"/>
    </row>
    <row r="58" spans="13:16" x14ac:dyDescent="0.25">
      <c r="P58" s="15" t="s">
        <v>18</v>
      </c>
    </row>
    <row r="59" spans="13:16" x14ac:dyDescent="0.25">
      <c r="O59" s="15" t="s">
        <v>19</v>
      </c>
      <c r="P59" s="27">
        <f ca="1">TODAY()</f>
        <v>46213</v>
      </c>
    </row>
  </sheetData>
  <mergeCells count="5">
    <mergeCell ref="A17:B20"/>
    <mergeCell ref="E6:H6"/>
    <mergeCell ref="E15:H15"/>
    <mergeCell ref="M6:P6"/>
    <mergeCell ref="M15:P15"/>
  </mergeCells>
  <printOptions horizontalCentered="1" verticalCentered="1"/>
  <pageMargins left="0.25" right="0.25" top="0.75" bottom="0.75" header="0.3" footer="0.3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81AE-A200-EB43-A483-E35969333677}">
  <dimension ref="A2:W36"/>
  <sheetViews>
    <sheetView topLeftCell="E1" zoomScale="99" workbookViewId="0">
      <selection activeCell="L1" sqref="L1:L1048576"/>
    </sheetView>
  </sheetViews>
  <sheetFormatPr defaultColWidth="11" defaultRowHeight="15.75" x14ac:dyDescent="0.25"/>
  <cols>
    <col min="1" max="1" width="9.75" bestFit="1" customWidth="1"/>
    <col min="2" max="2" width="12.125" bestFit="1" customWidth="1"/>
    <col min="3" max="14" width="19.125" bestFit="1" customWidth="1"/>
    <col min="15" max="22" width="13.875" bestFit="1" customWidth="1"/>
  </cols>
  <sheetData>
    <row r="2" spans="1:23" s="1" customFormat="1" x14ac:dyDescent="0.25">
      <c r="A2" s="7" t="s">
        <v>16</v>
      </c>
      <c r="B2" s="7" t="s">
        <v>2</v>
      </c>
      <c r="C2" s="7" t="str">
        <f>Preenchimento!D1</f>
        <v>01/Julho</v>
      </c>
      <c r="D2" s="7" t="str">
        <f>Preenchimento!E1</f>
        <v>05/Junho</v>
      </c>
      <c r="E2" s="7" t="str">
        <f>Preenchimento!F1</f>
        <v>04/Junho</v>
      </c>
      <c r="F2" s="7" t="str">
        <f>Preenchimento!G1</f>
        <v>03/Junho</v>
      </c>
      <c r="G2" s="7" t="str">
        <f>Preenchimento!H1</f>
        <v>02/Junho</v>
      </c>
      <c r="H2" s="7" t="str">
        <f>Preenchimento!I1</f>
        <v>01/Junho</v>
      </c>
      <c r="I2" s="7" t="str">
        <f>Preenchimento!J1</f>
        <v>04/Maio</v>
      </c>
      <c r="J2" s="7" t="str">
        <f>Preenchimento!K1</f>
        <v>03/Maio</v>
      </c>
      <c r="K2" s="7" t="str">
        <f>Preenchimento!L1</f>
        <v>02/Maio</v>
      </c>
      <c r="L2" s="7" t="str">
        <f>Preenchimento!M1</f>
        <v>01/Maio</v>
      </c>
      <c r="M2" s="7" t="str">
        <f>Preenchimento!N1</f>
        <v>05/Abril</v>
      </c>
      <c r="N2" s="7" t="str">
        <f>Preenchimento!O1</f>
        <v>04/Março</v>
      </c>
      <c r="O2" s="7" t="str">
        <f>Preenchimento!P1</f>
        <v>04/Fevereiro</v>
      </c>
      <c r="P2" s="7" t="str">
        <f>Preenchimento!Q1</f>
        <v>04/Janeiro</v>
      </c>
      <c r="Q2" s="7" t="str">
        <f>Preenchimento!R1</f>
        <v>05/Dezembro</v>
      </c>
      <c r="R2" s="7" t="str">
        <f>Preenchimento!S1</f>
        <v>04/Novembro</v>
      </c>
      <c r="S2" s="7" t="str">
        <f>Preenchimento!T1</f>
        <v>04/Outubro</v>
      </c>
      <c r="T2" s="7" t="str">
        <f>Preenchimento!U1</f>
        <v>04/Setembro</v>
      </c>
      <c r="U2" s="7" t="str">
        <f>Preenchimento!V1</f>
        <v>04/Agosto</v>
      </c>
      <c r="V2" s="7" t="str">
        <f>Preenchimento!W1</f>
        <v>04/Julho</v>
      </c>
      <c r="W2" s="6"/>
    </row>
    <row r="3" spans="1:23" x14ac:dyDescent="0.25">
      <c r="A3" t="s">
        <v>20</v>
      </c>
      <c r="C3">
        <f>Preenchimento!D10</f>
        <v>29278.43</v>
      </c>
      <c r="D3">
        <f>Preenchimento!E10</f>
        <v>109427.56</v>
      </c>
      <c r="E3">
        <f>Preenchimento!F10</f>
        <v>265161.28999999998</v>
      </c>
      <c r="F3">
        <f>Preenchimento!G10</f>
        <v>46500</v>
      </c>
      <c r="G3">
        <f>Preenchimento!H10</f>
        <v>44501.16</v>
      </c>
      <c r="H3">
        <f>Preenchimento!I10</f>
        <v>71219.17</v>
      </c>
      <c r="I3">
        <f>Preenchimento!J10</f>
        <v>147088.62</v>
      </c>
      <c r="J3">
        <f>Preenchimento!K10</f>
        <v>52075.58</v>
      </c>
      <c r="K3">
        <f>Preenchimento!L10</f>
        <v>53781.710000000006</v>
      </c>
      <c r="L3">
        <f>Preenchimento!M10</f>
        <v>64977.46</v>
      </c>
      <c r="M3">
        <f>Preenchimento!N10</f>
        <v>100764.01</v>
      </c>
      <c r="N3">
        <f>Preenchimento!O10</f>
        <v>338377.31000000006</v>
      </c>
      <c r="O3" s="14">
        <f>Preenchimento!P10</f>
        <v>44109.39</v>
      </c>
      <c r="P3" s="14">
        <f>Preenchimento!Q10</f>
        <v>58965.750000000007</v>
      </c>
      <c r="Q3" s="14">
        <f>Preenchimento!R10</f>
        <v>47586.36</v>
      </c>
      <c r="R3" s="14">
        <f>Preenchimento!S10</f>
        <v>46500</v>
      </c>
      <c r="S3" s="14">
        <f>Preenchimento!T10</f>
        <v>63555.100000000006</v>
      </c>
      <c r="T3" s="14">
        <f>Preenchimento!U10</f>
        <v>147441.59</v>
      </c>
      <c r="U3" s="14">
        <f>Preenchimento!V10</f>
        <v>59129.19</v>
      </c>
      <c r="V3" s="14">
        <f>Preenchimento!W10</f>
        <v>63129.09</v>
      </c>
    </row>
    <row r="4" spans="1:23" x14ac:dyDescent="0.25">
      <c r="A4" t="s">
        <v>11</v>
      </c>
      <c r="C4">
        <f>Preenchimento!D18</f>
        <v>2141297636.4300001</v>
      </c>
      <c r="D4">
        <f>Preenchimento!E18</f>
        <v>2135651387.3499999</v>
      </c>
      <c r="E4">
        <f>Preenchimento!F18</f>
        <v>2136727978.97</v>
      </c>
      <c r="F4">
        <f>Preenchimento!G18</f>
        <v>2131892644.2199996</v>
      </c>
      <c r="G4">
        <f>Preenchimento!H18</f>
        <v>2120109127.9299998</v>
      </c>
      <c r="H4">
        <f>Preenchimento!I18</f>
        <v>2110805318.5899999</v>
      </c>
      <c r="I4">
        <f>Preenchimento!J18</f>
        <v>2111975775.9900002</v>
      </c>
      <c r="J4">
        <f>Preenchimento!K18</f>
        <v>2113384946.2699997</v>
      </c>
      <c r="K4">
        <f>Preenchimento!L18</f>
        <v>2111440197.0899999</v>
      </c>
      <c r="L4">
        <f>Preenchimento!M18</f>
        <v>2097623451.6200001</v>
      </c>
      <c r="M4">
        <f>Preenchimento!N18</f>
        <v>2092139323.8199999</v>
      </c>
      <c r="N4">
        <f>Preenchimento!O18</f>
        <v>2063202739.24</v>
      </c>
      <c r="O4" s="14">
        <f>Preenchimento!P18</f>
        <v>2049397803.0700002</v>
      </c>
      <c r="P4" s="14">
        <f>Preenchimento!Q18</f>
        <v>2038948505.3000002</v>
      </c>
      <c r="Q4" s="14">
        <f>Preenchimento!R18</f>
        <v>2006674086.6800001</v>
      </c>
      <c r="R4" s="14">
        <f>Preenchimento!S18</f>
        <v>1983624358.9899998</v>
      </c>
      <c r="S4" s="14">
        <f>Preenchimento!T18</f>
        <v>1966472062.1099999</v>
      </c>
      <c r="T4" s="14">
        <f>Preenchimento!U18</f>
        <v>1945270753.9199998</v>
      </c>
      <c r="U4" s="14">
        <f>Preenchimento!V18</f>
        <v>1915546613.6000001</v>
      </c>
      <c r="V4" s="14">
        <f>Preenchimento!W18</f>
        <v>1896239081.7700002</v>
      </c>
    </row>
    <row r="5" spans="1:23" x14ac:dyDescent="0.25">
      <c r="O5" s="9"/>
      <c r="P5" s="9"/>
      <c r="Q5" s="9"/>
      <c r="R5" s="9"/>
      <c r="S5" s="9"/>
      <c r="T5" s="9"/>
      <c r="U5" s="9"/>
      <c r="V5" s="9"/>
    </row>
    <row r="6" spans="1:23" x14ac:dyDescent="0.25">
      <c r="C6">
        <f t="shared" ref="C6" si="0">SUM(C3:C5)</f>
        <v>2141326914.8600001</v>
      </c>
      <c r="D6">
        <f t="shared" ref="D6:E6" si="1">SUM(D3:D5)</f>
        <v>2135760814.9099998</v>
      </c>
      <c r="E6">
        <f t="shared" si="1"/>
        <v>2136993140.26</v>
      </c>
      <c r="F6">
        <f t="shared" ref="F6:G6" si="2">SUM(F3:F5)</f>
        <v>2131939144.2199996</v>
      </c>
      <c r="G6">
        <f t="shared" si="2"/>
        <v>2120153629.0899999</v>
      </c>
      <c r="H6">
        <f t="shared" ref="H6:I6" si="3">SUM(H3:H5)</f>
        <v>2110876537.76</v>
      </c>
      <c r="I6">
        <f t="shared" si="3"/>
        <v>2112122864.6100001</v>
      </c>
      <c r="J6">
        <f t="shared" ref="J6:N6" si="4">SUM(J3:J5)</f>
        <v>2113437021.8499997</v>
      </c>
      <c r="K6">
        <f t="shared" si="4"/>
        <v>2111493978.8</v>
      </c>
      <c r="L6">
        <f t="shared" si="4"/>
        <v>2097688429.0800002</v>
      </c>
      <c r="M6">
        <f t="shared" si="4"/>
        <v>2092240087.8299999</v>
      </c>
      <c r="N6">
        <f t="shared" si="4"/>
        <v>2063541116.55</v>
      </c>
      <c r="O6" s="9">
        <f t="shared" ref="O6" si="5">SUM(O3:O5)</f>
        <v>2049441912.4600003</v>
      </c>
      <c r="P6" s="9">
        <f t="shared" ref="P6" si="6">SUM(P3:P5)</f>
        <v>2039007471.0500002</v>
      </c>
      <c r="Q6" s="9">
        <f t="shared" ref="Q6" si="7">SUM(Q3:Q5)</f>
        <v>2006721673.04</v>
      </c>
      <c r="R6" s="9">
        <f t="shared" ref="R6" si="8">SUM(R3:R5)</f>
        <v>1983670858.9899998</v>
      </c>
      <c r="S6" s="9">
        <f t="shared" ref="S6" si="9">SUM(S3:S5)</f>
        <v>1966535617.2099998</v>
      </c>
      <c r="T6" s="9">
        <f t="shared" ref="T6" si="10">SUM(T3:T5)</f>
        <v>1945418195.5099998</v>
      </c>
      <c r="U6" s="9">
        <f t="shared" ref="U6" si="11">SUM(U3:U5)</f>
        <v>1915605742.7900002</v>
      </c>
      <c r="V6" s="9">
        <f t="shared" ref="V6" si="12">SUM(V3:V5)</f>
        <v>1896302210.8600001</v>
      </c>
    </row>
    <row r="11" spans="1:23" s="1" customFormat="1" x14ac:dyDescent="0.25">
      <c r="A11" s="7" t="s">
        <v>21</v>
      </c>
      <c r="B11" s="7" t="s">
        <v>3</v>
      </c>
      <c r="C11" s="7" t="str">
        <f t="shared" ref="C11:D11" si="13">C2</f>
        <v>01/Julho</v>
      </c>
      <c r="D11" s="7" t="str">
        <f t="shared" si="13"/>
        <v>05/Junho</v>
      </c>
      <c r="E11" s="7" t="str">
        <f t="shared" ref="E11:F11" si="14">E2</f>
        <v>04/Junho</v>
      </c>
      <c r="F11" s="7" t="str">
        <f t="shared" si="14"/>
        <v>03/Junho</v>
      </c>
      <c r="G11" s="7" t="str">
        <f t="shared" ref="G11:H11" si="15">G2</f>
        <v>02/Junho</v>
      </c>
      <c r="H11" s="7" t="str">
        <f t="shared" si="15"/>
        <v>01/Junho</v>
      </c>
      <c r="I11" s="7" t="str">
        <f t="shared" ref="I11:J11" si="16">I2</f>
        <v>04/Maio</v>
      </c>
      <c r="J11" s="7" t="str">
        <f t="shared" si="16"/>
        <v>03/Maio</v>
      </c>
      <c r="K11" s="7" t="str">
        <f t="shared" ref="K11:N11" si="17">K2</f>
        <v>02/Maio</v>
      </c>
      <c r="L11" s="7" t="str">
        <f t="shared" si="17"/>
        <v>01/Maio</v>
      </c>
      <c r="M11" s="7" t="str">
        <f t="shared" si="17"/>
        <v>05/Abril</v>
      </c>
      <c r="N11" s="7" t="str">
        <f t="shared" si="17"/>
        <v>04/Março</v>
      </c>
      <c r="O11" s="7" t="str">
        <f t="shared" ref="O11" si="18">O2</f>
        <v>04/Fevereiro</v>
      </c>
      <c r="P11" s="7" t="str">
        <f t="shared" ref="P11" si="19">P2</f>
        <v>04/Janeiro</v>
      </c>
      <c r="Q11" s="7" t="str">
        <f t="shared" ref="Q11" si="20">Q2</f>
        <v>05/Dezembro</v>
      </c>
      <c r="R11" s="7" t="str">
        <f t="shared" ref="R11" si="21">R2</f>
        <v>04/Novembro</v>
      </c>
      <c r="S11" s="7" t="str">
        <f t="shared" ref="S11" si="22">S2</f>
        <v>04/Outubro</v>
      </c>
      <c r="T11" s="7" t="str">
        <f t="shared" ref="T11" si="23">T2</f>
        <v>04/Setembro</v>
      </c>
      <c r="U11" s="7" t="str">
        <f t="shared" ref="U11" si="24">U2</f>
        <v>04/Agosto</v>
      </c>
      <c r="V11" s="7" t="str">
        <f t="shared" ref="V11" si="25">V2</f>
        <v>04/Julho</v>
      </c>
      <c r="W11" s="6"/>
    </row>
    <row r="12" spans="1:23" x14ac:dyDescent="0.25">
      <c r="A12" t="s">
        <v>20</v>
      </c>
      <c r="C12">
        <f>Preenchimento!D37</f>
        <v>12245513.59</v>
      </c>
      <c r="D12">
        <f>Preenchimento!E37</f>
        <v>12245513.59</v>
      </c>
      <c r="E12">
        <f>Preenchimento!F37</f>
        <v>12245513.59</v>
      </c>
      <c r="F12">
        <f>Preenchimento!G37</f>
        <v>12245513.59</v>
      </c>
      <c r="G12">
        <f>Preenchimento!H37</f>
        <v>12245513.59</v>
      </c>
      <c r="H12">
        <f>Preenchimento!I37</f>
        <v>12245513.59</v>
      </c>
      <c r="I12">
        <f>Preenchimento!J37</f>
        <v>12245513.59</v>
      </c>
      <c r="J12">
        <f>Preenchimento!K37</f>
        <v>12245513.59</v>
      </c>
      <c r="K12">
        <f>Preenchimento!L37</f>
        <v>12208091.960000001</v>
      </c>
      <c r="L12">
        <f>Preenchimento!M37</f>
        <v>12208091.960000001</v>
      </c>
      <c r="M12">
        <f>Preenchimento!N37</f>
        <v>12208091.960000001</v>
      </c>
      <c r="N12">
        <f>Preenchimento!O37</f>
        <v>12165836.369999999</v>
      </c>
      <c r="O12" s="14">
        <f>Preenchimento!P37</f>
        <v>12127684.470000001</v>
      </c>
      <c r="P12" s="14">
        <f>Preenchimento!Q37</f>
        <v>12088453.07</v>
      </c>
      <c r="Q12" s="14">
        <f>Preenchimento!R37</f>
        <v>12018519.1</v>
      </c>
      <c r="R12" s="14">
        <f>Preenchimento!S37</f>
        <v>11939777.99</v>
      </c>
      <c r="S12" s="14">
        <f>Preenchimento!T37</f>
        <v>11899149.26</v>
      </c>
      <c r="T12" s="14">
        <f>Preenchimento!U37</f>
        <v>11848537.380000001</v>
      </c>
      <c r="U12" s="14">
        <f>Preenchimento!V37</f>
        <v>11796275.02</v>
      </c>
      <c r="V12" s="14">
        <f>Preenchimento!W37</f>
        <v>11751430.08</v>
      </c>
    </row>
    <row r="13" spans="1:23" x14ac:dyDescent="0.25">
      <c r="A13" t="s">
        <v>11</v>
      </c>
      <c r="C13" s="34">
        <f>((Preenchimento!D40)*1.01)*1.000235</f>
        <v>133488761.79803766</v>
      </c>
      <c r="D13" s="34">
        <f>((Preenchimento!E40)*1.01)*1.000235</f>
        <v>133488761.79803766</v>
      </c>
      <c r="E13" s="34">
        <f>((Preenchimento!F40)*1.01)*1.000235</f>
        <v>133488761.79803766</v>
      </c>
      <c r="F13" s="34">
        <f>((Preenchimento!G40)*1.01)*1.000235</f>
        <v>133488761.79803766</v>
      </c>
      <c r="G13" s="34">
        <f>((Preenchimento!H40)*1.01)*1.000235</f>
        <v>133488761.79803766</v>
      </c>
      <c r="H13" s="34">
        <f>((Preenchimento!I40)*1.01)*1.000235</f>
        <v>133488761.79803766</v>
      </c>
      <c r="I13" s="34">
        <f>((Preenchimento!J40)*1.01)*1.000235</f>
        <v>133488761.79803766</v>
      </c>
      <c r="J13" s="34">
        <f>((Preenchimento!K40)*1.01)*1.000235</f>
        <v>133488761.79803766</v>
      </c>
      <c r="K13" s="34">
        <f>((Preenchimento!L40)*1.01)*1.000235</f>
        <v>129271927.25684045</v>
      </c>
      <c r="L13" s="34">
        <f>((Preenchimento!M40)*1.01)*1.000235</f>
        <v>129271927.25684045</v>
      </c>
      <c r="M13" s="34">
        <f>((Preenchimento!N40)*1.01)*1.000235</f>
        <v>129271927.25684045</v>
      </c>
      <c r="N13" s="34">
        <f>((Preenchimento!O40)*1.01)*1.000235</f>
        <v>120351149.24314147</v>
      </c>
      <c r="O13" s="11">
        <f>((Preenchimento!P40)*1.01)*1.000235</f>
        <v>126404726.42554906</v>
      </c>
      <c r="P13" s="11">
        <f>((Preenchimento!Q40)*1.01)*1.000235</f>
        <v>124673277.73200287</v>
      </c>
      <c r="Q13" s="11">
        <f>((Preenchimento!R40)*1.01)*1.000235</f>
        <v>120679650.27404651</v>
      </c>
      <c r="R13" s="11">
        <f>((Preenchimento!S40)*1.01)*1.000235</f>
        <v>120810902.64420679</v>
      </c>
      <c r="S13" s="11">
        <f>((Preenchimento!T40)*1.01)*1.000235</f>
        <v>119900822.39709608</v>
      </c>
      <c r="T13" s="11">
        <f>((Preenchimento!U40)*1.01)*1.000235</f>
        <v>118086912.39289474</v>
      </c>
      <c r="U13" s="11">
        <f>((Preenchimento!V40)*1.01)*1.000235</f>
        <v>114844531.3521686</v>
      </c>
      <c r="V13" s="11">
        <f>((Preenchimento!W40)*1.01)*1.000235</f>
        <v>112252538.10686515</v>
      </c>
    </row>
    <row r="14" spans="1:23" x14ac:dyDescent="0.25">
      <c r="O14" s="9"/>
      <c r="P14" s="9"/>
      <c r="Q14" s="9"/>
      <c r="R14" s="9"/>
      <c r="S14" s="9"/>
      <c r="T14" s="9"/>
      <c r="U14" s="9"/>
      <c r="V14" s="9"/>
    </row>
    <row r="15" spans="1:23" x14ac:dyDescent="0.25">
      <c r="B15" t="s">
        <v>22</v>
      </c>
      <c r="C15">
        <f t="shared" ref="C15" si="26">((SUM(C12:C14))*1.01)*1.000235</f>
        <v>147226208.17218137</v>
      </c>
      <c r="D15">
        <f t="shared" ref="D15:E15" si="27">((SUM(D12:D14))*1.01)*1.000235</f>
        <v>147226208.17218137</v>
      </c>
      <c r="E15">
        <f t="shared" si="27"/>
        <v>147226208.17218137</v>
      </c>
      <c r="F15">
        <f t="shared" ref="F15:G15" si="28">((SUM(F12:F14))*1.01)*1.000235</f>
        <v>147226208.17218137</v>
      </c>
      <c r="G15">
        <f t="shared" si="28"/>
        <v>147226208.17218137</v>
      </c>
      <c r="H15">
        <f t="shared" ref="H15:I15" si="29">((SUM(H12:H14))*1.01)*1.000235</f>
        <v>147226208.17218137</v>
      </c>
      <c r="I15">
        <f t="shared" si="29"/>
        <v>147226208.17218137</v>
      </c>
      <c r="J15">
        <f t="shared" ref="J15:N15" si="30">((SUM(J12:J14))*1.01)*1.000235</f>
        <v>147226208.17218137</v>
      </c>
      <c r="K15">
        <f t="shared" si="30"/>
        <v>142928399.69156998</v>
      </c>
      <c r="L15">
        <f t="shared" si="30"/>
        <v>142928399.69156998</v>
      </c>
      <c r="M15">
        <f t="shared" si="30"/>
        <v>142928399.69156998</v>
      </c>
      <c r="N15">
        <f t="shared" si="30"/>
        <v>133873608.37580818</v>
      </c>
      <c r="O15" s="9">
        <f t="shared" ref="O15" si="31">((SUM(O12:O14))*1.01)*1.000235</f>
        <v>139950615.67223063</v>
      </c>
      <c r="P15" s="9">
        <f t="shared" ref="P15" si="32">((SUM(P12:P14))*1.01)*1.000235</f>
        <v>138161808.50682876</v>
      </c>
      <c r="Q15" s="9">
        <f t="shared" ref="Q15" si="33">((SUM(Q12:Q14))*1.01)*1.000235</f>
        <v>134056646.97828791</v>
      </c>
      <c r="R15" s="9">
        <f t="shared" ref="R15" si="34">((SUM(R12:R14))*1.01)*1.000235</f>
        <v>134109695.81459738</v>
      </c>
      <c r="S15" s="9">
        <f t="shared" ref="S15" si="35">((SUM(S12:S14))*1.01)*1.000235</f>
        <v>133149254.09693986</v>
      </c>
      <c r="T15" s="9">
        <f t="shared" ref="T15" si="36">((SUM(T12:T14))*1.01)*1.000235</f>
        <v>131265644.44962728</v>
      </c>
      <c r="U15" s="9">
        <f t="shared" ref="U15" si="37">((SUM(U12:U14))*1.01)*1.000235</f>
        <v>127937272.63128272</v>
      </c>
      <c r="V15" s="9">
        <f t="shared" ref="V15" si="38">((SUM(V12:V14))*1.01)*1.000235</f>
        <v>125273440.21058296</v>
      </c>
    </row>
    <row r="20" spans="1:23" s="1" customFormat="1" x14ac:dyDescent="0.25">
      <c r="A20" s="7" t="s">
        <v>16</v>
      </c>
      <c r="B20" s="7" t="s">
        <v>23</v>
      </c>
      <c r="C20" s="7" t="str">
        <f t="shared" ref="C20:D20" si="39">C11</f>
        <v>01/Julho</v>
      </c>
      <c r="D20" s="7" t="str">
        <f t="shared" si="39"/>
        <v>05/Junho</v>
      </c>
      <c r="E20" s="7" t="str">
        <f t="shared" ref="E20:F20" si="40">E11</f>
        <v>04/Junho</v>
      </c>
      <c r="F20" s="7" t="str">
        <f t="shared" si="40"/>
        <v>03/Junho</v>
      </c>
      <c r="G20" s="7" t="str">
        <f t="shared" ref="G20:H20" si="41">G11</f>
        <v>02/Junho</v>
      </c>
      <c r="H20" s="7" t="str">
        <f t="shared" si="41"/>
        <v>01/Junho</v>
      </c>
      <c r="I20" s="7" t="str">
        <f t="shared" ref="I20:J20" si="42">I11</f>
        <v>04/Maio</v>
      </c>
      <c r="J20" s="7" t="str">
        <f t="shared" si="42"/>
        <v>03/Maio</v>
      </c>
      <c r="K20" s="7" t="str">
        <f t="shared" ref="K20:N20" si="43">K11</f>
        <v>02/Maio</v>
      </c>
      <c r="L20" s="7" t="str">
        <f t="shared" si="43"/>
        <v>01/Maio</v>
      </c>
      <c r="M20" s="7" t="str">
        <f t="shared" si="43"/>
        <v>05/Abril</v>
      </c>
      <c r="N20" s="7" t="str">
        <f t="shared" si="43"/>
        <v>04/Março</v>
      </c>
      <c r="O20" s="7" t="str">
        <f t="shared" ref="O20" si="44">O11</f>
        <v>04/Fevereiro</v>
      </c>
      <c r="P20" s="7" t="str">
        <f t="shared" ref="P20" si="45">P11</f>
        <v>04/Janeiro</v>
      </c>
      <c r="Q20" s="7" t="str">
        <f t="shared" ref="Q20" si="46">Q11</f>
        <v>05/Dezembro</v>
      </c>
      <c r="R20" s="7" t="str">
        <f t="shared" ref="R20" si="47">R11</f>
        <v>04/Novembro</v>
      </c>
      <c r="S20" s="7" t="str">
        <f t="shared" ref="S20" si="48">S11</f>
        <v>04/Outubro</v>
      </c>
      <c r="T20" s="7" t="str">
        <f t="shared" ref="T20" si="49">T11</f>
        <v>04/Setembro</v>
      </c>
      <c r="U20" s="7" t="str">
        <f t="shared" ref="U20" si="50">U11</f>
        <v>04/Agosto</v>
      </c>
      <c r="V20" s="7" t="str">
        <f t="shared" ref="V20" si="51">V11</f>
        <v>04/Julho</v>
      </c>
      <c r="W20" s="6"/>
    </row>
    <row r="21" spans="1:23" x14ac:dyDescent="0.25">
      <c r="A21" t="s">
        <v>20</v>
      </c>
      <c r="C21">
        <f>Preenchimento!D24</f>
        <v>765751.11</v>
      </c>
      <c r="D21">
        <f>Preenchimento!E24</f>
        <v>28605.16</v>
      </c>
      <c r="E21">
        <f>Preenchimento!F24</f>
        <v>22491.58</v>
      </c>
      <c r="F21">
        <f>Preenchimento!G24</f>
        <v>30001</v>
      </c>
      <c r="G21">
        <f>Preenchimento!H24</f>
        <v>30001</v>
      </c>
      <c r="H21">
        <f>Preenchimento!I24</f>
        <v>27140.91</v>
      </c>
      <c r="I21">
        <f>Preenchimento!J24</f>
        <v>28641.279999999999</v>
      </c>
      <c r="J21">
        <f>Preenchimento!K24</f>
        <v>1001</v>
      </c>
      <c r="K21">
        <f>Preenchimento!L24</f>
        <v>50001</v>
      </c>
      <c r="L21">
        <f>Preenchimento!M24</f>
        <v>31933.040000000001</v>
      </c>
      <c r="M21">
        <f>Preenchimento!N24</f>
        <v>34861.870000000003</v>
      </c>
      <c r="N21">
        <f>Preenchimento!O24</f>
        <v>910359.54</v>
      </c>
      <c r="O21" s="14">
        <f>Preenchimento!P24</f>
        <v>23565.26</v>
      </c>
      <c r="P21" s="14">
        <f>Preenchimento!Q24</f>
        <v>29984.66</v>
      </c>
      <c r="Q21" s="14">
        <f>Preenchimento!R24</f>
        <v>30001</v>
      </c>
      <c r="R21" s="14">
        <f>Preenchimento!S24</f>
        <v>30001</v>
      </c>
      <c r="S21" s="14">
        <f>Preenchimento!T24</f>
        <v>30103.59</v>
      </c>
      <c r="T21" s="14">
        <f>Preenchimento!U24</f>
        <v>30020.19</v>
      </c>
      <c r="U21" s="14">
        <f>Preenchimento!V24</f>
        <v>30037.01</v>
      </c>
      <c r="V21" s="14">
        <f>Preenchimento!W24</f>
        <v>30037.01</v>
      </c>
    </row>
    <row r="22" spans="1:23" x14ac:dyDescent="0.25">
      <c r="A22" t="s">
        <v>11</v>
      </c>
      <c r="C22">
        <f>Preenchimento!D33</f>
        <v>300110226.03999996</v>
      </c>
      <c r="D22">
        <f>Preenchimento!E33</f>
        <v>299703653.94999999</v>
      </c>
      <c r="E22">
        <f>Preenchimento!F33</f>
        <v>295087220.98000002</v>
      </c>
      <c r="F22">
        <f>Preenchimento!G33</f>
        <v>294712589.25999999</v>
      </c>
      <c r="G22">
        <f>Preenchimento!H33</f>
        <v>297820632.31</v>
      </c>
      <c r="H22">
        <f>Preenchimento!I33</f>
        <v>298728137.21000004</v>
      </c>
      <c r="I22">
        <f>Preenchimento!J33</f>
        <v>298904771.66000003</v>
      </c>
      <c r="J22">
        <f>Preenchimento!K33</f>
        <v>294184694.13999999</v>
      </c>
      <c r="K22">
        <f>Preenchimento!L33</f>
        <v>293752483.35000002</v>
      </c>
      <c r="L22">
        <f>Preenchimento!M33</f>
        <v>298113784.10000002</v>
      </c>
      <c r="M22">
        <f>Preenchimento!N33</f>
        <v>297801512.07999998</v>
      </c>
      <c r="N22">
        <f>Preenchimento!O33</f>
        <v>294536213.56999999</v>
      </c>
      <c r="O22" s="14">
        <f>Preenchimento!P33</f>
        <v>295727084.94999999</v>
      </c>
      <c r="P22" s="14">
        <f>Preenchimento!Q33</f>
        <v>294091777.27999997</v>
      </c>
      <c r="Q22" s="14">
        <f>Preenchimento!R33</f>
        <v>288375548.31999999</v>
      </c>
      <c r="R22" s="14">
        <f>Preenchimento!S33</f>
        <v>287313368.13999999</v>
      </c>
      <c r="S22" s="14">
        <f>Preenchimento!T33</f>
        <v>281398619.78999996</v>
      </c>
      <c r="T22" s="14">
        <f>Preenchimento!U33</f>
        <v>279400561.18000001</v>
      </c>
      <c r="U22" s="14">
        <f>Preenchimento!V33</f>
        <v>280275400.21000004</v>
      </c>
      <c r="V22" s="14">
        <f>Preenchimento!W33</f>
        <v>281213731.35000002</v>
      </c>
    </row>
    <row r="23" spans="1:23" x14ac:dyDescent="0.25">
      <c r="O23" s="9"/>
      <c r="P23" s="9"/>
      <c r="Q23" s="9"/>
      <c r="R23" s="9"/>
      <c r="S23" s="9"/>
      <c r="T23" s="9"/>
      <c r="U23" s="9"/>
      <c r="V23" s="9"/>
    </row>
    <row r="24" spans="1:23" x14ac:dyDescent="0.25">
      <c r="C24">
        <f t="shared" ref="C24" si="52">SUM(C21:C23)</f>
        <v>300875977.14999998</v>
      </c>
      <c r="D24">
        <f t="shared" ref="D24:E24" si="53">SUM(D21:D23)</f>
        <v>299732259.11000001</v>
      </c>
      <c r="E24">
        <f t="shared" si="53"/>
        <v>295109712.56</v>
      </c>
      <c r="F24">
        <f t="shared" ref="F24:G24" si="54">SUM(F21:F23)</f>
        <v>294742590.25999999</v>
      </c>
      <c r="G24">
        <f t="shared" si="54"/>
        <v>297850633.31</v>
      </c>
      <c r="H24">
        <f t="shared" ref="H24:I24" si="55">SUM(H21:H23)</f>
        <v>298755278.12000006</v>
      </c>
      <c r="I24">
        <f t="shared" si="55"/>
        <v>298933412.94</v>
      </c>
      <c r="J24">
        <f t="shared" ref="J24:N24" si="56">SUM(J21:J23)</f>
        <v>294185695.13999999</v>
      </c>
      <c r="K24">
        <f t="shared" si="56"/>
        <v>293802484.35000002</v>
      </c>
      <c r="L24">
        <f t="shared" si="56"/>
        <v>298145717.14000005</v>
      </c>
      <c r="M24">
        <f t="shared" si="56"/>
        <v>297836373.94999999</v>
      </c>
      <c r="N24">
        <f t="shared" si="56"/>
        <v>295446573.11000001</v>
      </c>
      <c r="O24" s="9">
        <f t="shared" ref="O24" si="57">SUM(O21:O23)</f>
        <v>295750650.20999998</v>
      </c>
      <c r="P24" s="9">
        <f t="shared" ref="P24" si="58">SUM(P21:P23)</f>
        <v>294121761.94</v>
      </c>
      <c r="Q24" s="9">
        <f t="shared" ref="Q24" si="59">SUM(Q21:Q23)</f>
        <v>288405549.31999999</v>
      </c>
      <c r="R24" s="9">
        <f t="shared" ref="R24" si="60">SUM(R21:R23)</f>
        <v>287343369.13999999</v>
      </c>
      <c r="S24" s="9">
        <f t="shared" ref="S24" si="61">SUM(S21:S23)</f>
        <v>281428723.37999994</v>
      </c>
      <c r="T24" s="9">
        <f t="shared" ref="T24" si="62">SUM(T21:T23)</f>
        <v>279430581.37</v>
      </c>
      <c r="U24" s="9">
        <f t="shared" ref="U24" si="63">SUM(U21:U23)</f>
        <v>280305437.22000003</v>
      </c>
      <c r="V24" s="9">
        <f t="shared" ref="V24" si="64">SUM(V21:V23)</f>
        <v>281243768.36000001</v>
      </c>
    </row>
    <row r="26" spans="1:23" x14ac:dyDescent="0.25">
      <c r="B26" t="s">
        <v>24</v>
      </c>
      <c r="C26">
        <f t="shared" ref="C26:D26" si="65">C6+C24</f>
        <v>2442202892.0100002</v>
      </c>
      <c r="D26">
        <f t="shared" si="65"/>
        <v>2435493074.02</v>
      </c>
      <c r="E26">
        <f t="shared" ref="E26:F26" si="66">E6+E24</f>
        <v>2432102852.8200002</v>
      </c>
      <c r="F26">
        <f t="shared" si="66"/>
        <v>2426681734.4799995</v>
      </c>
      <c r="G26">
        <f t="shared" ref="G26:H26" si="67">G6+G24</f>
        <v>2418004262.4000001</v>
      </c>
      <c r="H26">
        <f t="shared" si="67"/>
        <v>2409631815.8800001</v>
      </c>
      <c r="I26">
        <f t="shared" ref="I26:J26" si="68">I6+I24</f>
        <v>2411056277.5500002</v>
      </c>
      <c r="J26">
        <f t="shared" si="68"/>
        <v>2407622716.9899998</v>
      </c>
      <c r="K26">
        <f t="shared" ref="K26:N26" si="69">K6+K24</f>
        <v>2405296463.1500001</v>
      </c>
      <c r="L26">
        <f t="shared" si="69"/>
        <v>2395834146.2200003</v>
      </c>
      <c r="M26">
        <f t="shared" si="69"/>
        <v>2390076461.7799997</v>
      </c>
      <c r="N26">
        <f t="shared" si="69"/>
        <v>2358987689.6599998</v>
      </c>
      <c r="O26" s="10">
        <f t="shared" ref="O26" si="70">O6+O24</f>
        <v>2345192562.6700001</v>
      </c>
      <c r="P26" s="10">
        <f t="shared" ref="P26" si="71">P6+P24</f>
        <v>2333129232.9900002</v>
      </c>
      <c r="Q26" s="10">
        <f t="shared" ref="Q26" si="72">Q6+Q24</f>
        <v>2295127222.3600001</v>
      </c>
      <c r="R26" s="10">
        <f t="shared" ref="R26" si="73">R6+R24</f>
        <v>2271014228.1299996</v>
      </c>
      <c r="S26" s="10">
        <f t="shared" ref="S26" si="74">S6+S24</f>
        <v>2247964340.5899997</v>
      </c>
      <c r="T26" s="10">
        <f t="shared" ref="T26" si="75">T6+T24</f>
        <v>2224848776.8799996</v>
      </c>
      <c r="U26" s="10">
        <f t="shared" ref="U26" si="76">U6+U24</f>
        <v>2195911180.0100002</v>
      </c>
      <c r="V26" s="10">
        <f t="shared" ref="V26" si="77">V6+V24</f>
        <v>2177545979.2200003</v>
      </c>
    </row>
    <row r="30" spans="1:23" x14ac:dyDescent="0.25">
      <c r="B30" s="28"/>
      <c r="C30" s="28">
        <f t="shared" ref="C30:D30" si="78">C3+(C12*C35)+C21</f>
        <v>63614514.256699994</v>
      </c>
      <c r="D30" s="28">
        <f t="shared" si="78"/>
        <v>63814703.387999997</v>
      </c>
      <c r="E30" s="28">
        <f t="shared" ref="E30:F30" si="79">E3+(E12*E35)+E21</f>
        <v>63719413.266199991</v>
      </c>
      <c r="F30" s="28">
        <f t="shared" si="79"/>
        <v>63263351.124399997</v>
      </c>
      <c r="G30" s="28">
        <f t="shared" ref="G30:H30" si="80">G3+(G12*G35)+G21</f>
        <v>62036800.925399989</v>
      </c>
      <c r="H30" s="28">
        <f t="shared" si="80"/>
        <v>62795389.660799995</v>
      </c>
      <c r="I30" s="28">
        <f t="shared" ref="I30:J30" si="81">I3+(I12*I35)+I21</f>
        <v>61893118.393599994</v>
      </c>
      <c r="J30" s="28">
        <f t="shared" si="81"/>
        <v>61648009.937700003</v>
      </c>
      <c r="K30" s="28">
        <f t="shared" ref="K30:N30" si="82">K3+(K12*K35)+K21</f>
        <v>59923433.31400001</v>
      </c>
      <c r="L30" s="28">
        <f t="shared" si="82"/>
        <v>59794480.1844</v>
      </c>
      <c r="M30" s="28">
        <f t="shared" si="82"/>
        <v>62518975.795600004</v>
      </c>
      <c r="N30" s="28">
        <f t="shared" si="82"/>
        <v>66700936.520599999</v>
      </c>
      <c r="O30" s="10">
        <f t="shared" ref="O30" si="83">O3+(O12*O35)+O21</f>
        <v>63252910.738700002</v>
      </c>
      <c r="P30" s="10">
        <f t="shared" ref="P30" si="84">P3+(P12*P35)+P21</f>
        <v>64883058.865200005</v>
      </c>
      <c r="Q30" s="10">
        <f t="shared" ref="Q30" si="85">Q3+(Q12*Q35)+Q21</f>
        <v>65458331.263999999</v>
      </c>
      <c r="R30" s="10">
        <f t="shared" ref="R30:S30" si="86">R3+(R12*R35)+R21</f>
        <v>63715517.686700001</v>
      </c>
      <c r="S30" s="10">
        <f t="shared" si="86"/>
        <v>64111081.708800003</v>
      </c>
      <c r="T30" s="10">
        <f t="shared" ref="T30" si="87">T3+(T12*T35)+T21</f>
        <v>65344417.370000005</v>
      </c>
      <c r="U30" s="10">
        <f t="shared" ref="U30" si="88">U3+(U12*U35)+U21</f>
        <v>64968678.809999995</v>
      </c>
      <c r="V30" s="10">
        <f t="shared" ref="V30" si="89">V3+(V12*V35)+V21</f>
        <v>67076317.556000002</v>
      </c>
    </row>
    <row r="31" spans="1:23" x14ac:dyDescent="0.25">
      <c r="B31" s="28"/>
      <c r="C31" s="28">
        <f t="shared" ref="C31:D31" si="90">C4+(C13*C35)+C22</f>
        <v>3126205210.4939332</v>
      </c>
      <c r="D31" s="28">
        <f t="shared" si="90"/>
        <v>3129496602.6497955</v>
      </c>
      <c r="E31" s="28">
        <f t="shared" ref="E31:F31" si="91">E4+(E13*E35)+E22</f>
        <v>3123286986.0638351</v>
      </c>
      <c r="F31" s="28">
        <f t="shared" si="91"/>
        <v>3115407244.3578739</v>
      </c>
      <c r="G31" s="28">
        <f t="shared" ref="G31:H31" si="92">G4+(G13*G35)+G22</f>
        <v>3093382894.9380703</v>
      </c>
      <c r="H31" s="28">
        <f t="shared" si="92"/>
        <v>3092995916.2059526</v>
      </c>
      <c r="I31" s="28">
        <f t="shared" ref="I31:J31" si="93">I4+(I13*I35)+I22</f>
        <v>3083663907.1121101</v>
      </c>
      <c r="J31" s="28">
        <f t="shared" si="93"/>
        <v>3079018112.2541289</v>
      </c>
      <c r="K31" s="28">
        <f t="shared" ref="K31:N31" si="94">K4+(K13*K35)+K22</f>
        <v>3038625123.998518</v>
      </c>
      <c r="L31" s="28">
        <f t="shared" si="94"/>
        <v>3027876960.00595</v>
      </c>
      <c r="M31" s="28">
        <f t="shared" si="94"/>
        <v>3050520384.1824546</v>
      </c>
      <c r="N31" s="28">
        <f t="shared" si="94"/>
        <v>3005228135.7381015</v>
      </c>
      <c r="O31" s="10">
        <f t="shared" ref="O31" si="95">O4+(O13*O35)+O22</f>
        <v>3003693512.6971107</v>
      </c>
      <c r="P31" s="10">
        <f t="shared" ref="P31" si="96">P4+(P13*P35)+P22</f>
        <v>3001289051.2235355</v>
      </c>
      <c r="Q31" s="10">
        <f t="shared" ref="Q31" si="97">Q4+(Q13*Q35)+Q22</f>
        <v>2951546932.4908133</v>
      </c>
      <c r="R31" s="10">
        <f t="shared" ref="R31" si="98">R4+(R13*R35)+R22</f>
        <v>2914859838.2236218</v>
      </c>
      <c r="S31" s="10">
        <f t="shared" ref="S31" si="99">S4+(S13*S35)+S22</f>
        <v>2892937106.3963766</v>
      </c>
      <c r="T31" s="10">
        <f t="shared" ref="T31" si="100">T4+(T13*T35)+T22</f>
        <v>2874149333.260921</v>
      </c>
      <c r="U31" s="10">
        <f t="shared" ref="U31" si="101">U4+(U13*U35)+U22</f>
        <v>2827466936.2469273</v>
      </c>
      <c r="V31" s="10">
        <f t="shared" ref="V31" si="102">V4+(V13*V35)+V22</f>
        <v>2817292280.3291316</v>
      </c>
    </row>
    <row r="32" spans="1:23" x14ac:dyDescent="0.25">
      <c r="C32">
        <f t="shared" ref="C32" si="103">SUM(C30:C31)</f>
        <v>3189819724.7506332</v>
      </c>
      <c r="D32">
        <f t="shared" ref="D32:E32" si="104">SUM(D30:D31)</f>
        <v>3193311306.0377955</v>
      </c>
      <c r="E32">
        <f t="shared" si="104"/>
        <v>3187006399.3300352</v>
      </c>
      <c r="F32">
        <f t="shared" ref="F32:G32" si="105">SUM(F30:F31)</f>
        <v>3178670595.4822741</v>
      </c>
      <c r="G32">
        <f t="shared" si="105"/>
        <v>3155419695.8634701</v>
      </c>
      <c r="H32">
        <f t="shared" ref="H32:I32" si="106">SUM(H30:H31)</f>
        <v>3155791305.8667526</v>
      </c>
      <c r="I32">
        <f t="shared" si="106"/>
        <v>3145557025.5057101</v>
      </c>
      <c r="J32">
        <f t="shared" ref="J32:N32" si="107">SUM(J30:J31)</f>
        <v>3140666122.1918287</v>
      </c>
      <c r="K32">
        <f t="shared" si="107"/>
        <v>3098548557.3125181</v>
      </c>
      <c r="L32">
        <f t="shared" si="107"/>
        <v>3087671440.1903501</v>
      </c>
      <c r="M32">
        <f t="shared" si="107"/>
        <v>3113039359.9780545</v>
      </c>
      <c r="N32">
        <f t="shared" si="107"/>
        <v>3071929072.2587013</v>
      </c>
      <c r="O32" s="10">
        <f t="shared" ref="O32" si="108">SUM(O30:O31)</f>
        <v>3066946423.4358106</v>
      </c>
      <c r="P32" s="10">
        <f t="shared" ref="P32" si="109">SUM(P30:P31)</f>
        <v>3066172110.0887356</v>
      </c>
      <c r="Q32" s="10">
        <f t="shared" ref="Q32" si="110">SUM(Q30:Q31)</f>
        <v>3017005263.7548132</v>
      </c>
      <c r="R32" s="10">
        <f t="shared" ref="R32:S32" si="111">SUM(R30:R31)</f>
        <v>2978575355.9103217</v>
      </c>
      <c r="S32" s="10">
        <f t="shared" si="111"/>
        <v>2957048188.1051764</v>
      </c>
      <c r="T32" s="10">
        <f t="shared" ref="T32" si="112">SUM(T30:T31)</f>
        <v>2939493750.6309209</v>
      </c>
      <c r="U32" s="10">
        <f t="shared" ref="U32" si="113">SUM(U30:U31)</f>
        <v>2892435615.0569272</v>
      </c>
      <c r="V32" s="10">
        <f t="shared" ref="V32" si="114">SUM(V30:V31)</f>
        <v>2884368597.8851318</v>
      </c>
    </row>
    <row r="35" spans="1:22" x14ac:dyDescent="0.25">
      <c r="A35" t="s">
        <v>25</v>
      </c>
      <c r="B35" t="s">
        <v>26</v>
      </c>
      <c r="C35">
        <v>5.13</v>
      </c>
      <c r="D35">
        <v>5.2</v>
      </c>
      <c r="E35">
        <v>5.18</v>
      </c>
      <c r="F35">
        <v>5.16</v>
      </c>
      <c r="G35">
        <v>5.0599999999999996</v>
      </c>
      <c r="H35">
        <v>5.12</v>
      </c>
      <c r="I35">
        <v>5.04</v>
      </c>
      <c r="J35">
        <v>5.03</v>
      </c>
      <c r="K35">
        <v>4.9000000000000004</v>
      </c>
      <c r="L35">
        <v>4.8899999999999997</v>
      </c>
      <c r="M35">
        <v>5.1100000000000003</v>
      </c>
      <c r="N35">
        <v>5.38</v>
      </c>
      <c r="O35" s="13">
        <v>5.21</v>
      </c>
      <c r="P35" s="13">
        <v>5.36</v>
      </c>
      <c r="Q35" s="13">
        <v>5.44</v>
      </c>
      <c r="R35" s="13">
        <v>5.33</v>
      </c>
      <c r="S35" s="13">
        <v>5.38</v>
      </c>
      <c r="T35" s="13">
        <v>5.5</v>
      </c>
      <c r="U35" s="13">
        <v>5.5</v>
      </c>
      <c r="V35" s="13">
        <v>5.7</v>
      </c>
    </row>
    <row r="36" spans="1:22" x14ac:dyDescent="0.25">
      <c r="O36" s="13"/>
      <c r="P36" s="13"/>
      <c r="Q36" s="13"/>
      <c r="R36" s="13"/>
      <c r="S36" s="13"/>
      <c r="T36" s="13"/>
      <c r="U36" s="13"/>
      <c r="V36" s="1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B3CA-FD8B-4E4A-8DCD-F7FBD5FC0158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03CA-3C5E-49D2-A235-7841004E7A89}">
  <dimension ref="A1:W40"/>
  <sheetViews>
    <sheetView topLeftCell="M1" zoomScaleNormal="100" workbookViewId="0">
      <selection activeCell="R1" sqref="O1:R1048576"/>
    </sheetView>
  </sheetViews>
  <sheetFormatPr defaultColWidth="9" defaultRowHeight="15.75" x14ac:dyDescent="0.25"/>
  <cols>
    <col min="1" max="1" width="11.375" bestFit="1" customWidth="1"/>
    <col min="2" max="2" width="15.75" bestFit="1" customWidth="1"/>
    <col min="3" max="3" width="10.5" bestFit="1" customWidth="1"/>
    <col min="4" max="23" width="16.25" bestFit="1" customWidth="1"/>
  </cols>
  <sheetData>
    <row r="1" spans="1:23" x14ac:dyDescent="0.25">
      <c r="A1" t="s">
        <v>20</v>
      </c>
      <c r="B1" t="s">
        <v>27</v>
      </c>
      <c r="C1" t="s">
        <v>28</v>
      </c>
      <c r="D1" s="35" t="s">
        <v>80</v>
      </c>
      <c r="E1" s="35" t="s">
        <v>79</v>
      </c>
      <c r="F1" s="35" t="s">
        <v>29</v>
      </c>
      <c r="G1" s="35" t="s">
        <v>78</v>
      </c>
      <c r="H1" s="35" t="s">
        <v>77</v>
      </c>
      <c r="I1" s="35" t="s">
        <v>76</v>
      </c>
      <c r="J1" s="35" t="s">
        <v>30</v>
      </c>
      <c r="K1" s="35" t="s">
        <v>75</v>
      </c>
      <c r="L1" t="s">
        <v>73</v>
      </c>
      <c r="M1" t="s">
        <v>74</v>
      </c>
      <c r="N1" t="s">
        <v>31</v>
      </c>
      <c r="O1" t="s">
        <v>32</v>
      </c>
      <c r="P1" s="31" t="s">
        <v>71</v>
      </c>
      <c r="Q1" s="31" t="s">
        <v>70</v>
      </c>
      <c r="R1" s="31" t="s">
        <v>69</v>
      </c>
      <c r="S1" s="31" t="s">
        <v>33</v>
      </c>
      <c r="T1" s="31" t="s">
        <v>68</v>
      </c>
      <c r="U1" s="31" t="s">
        <v>34</v>
      </c>
      <c r="V1" s="31" t="s">
        <v>35</v>
      </c>
      <c r="W1" s="31" t="s">
        <v>67</v>
      </c>
    </row>
    <row r="2" spans="1:23" x14ac:dyDescent="0.25">
      <c r="A2" t="s">
        <v>36</v>
      </c>
      <c r="B2">
        <v>1181</v>
      </c>
      <c r="C2" t="s">
        <v>37</v>
      </c>
      <c r="D2">
        <v>2679.61</v>
      </c>
      <c r="E2">
        <v>28783.81</v>
      </c>
      <c r="F2">
        <v>209400.84</v>
      </c>
      <c r="G2">
        <v>20000</v>
      </c>
      <c r="H2">
        <v>17000</v>
      </c>
      <c r="I2" s="29">
        <v>35581.1</v>
      </c>
      <c r="J2" s="29">
        <v>40973.75</v>
      </c>
      <c r="K2">
        <v>17000</v>
      </c>
      <c r="L2">
        <v>19941.259999999998</v>
      </c>
      <c r="M2">
        <v>18861.03</v>
      </c>
      <c r="N2">
        <v>36126.519999999997</v>
      </c>
      <c r="O2">
        <v>196112.89</v>
      </c>
      <c r="P2" s="26">
        <v>16357.2</v>
      </c>
      <c r="Q2" s="26">
        <v>20000</v>
      </c>
      <c r="R2" s="26">
        <v>8446.5</v>
      </c>
      <c r="S2" s="26">
        <v>20000</v>
      </c>
      <c r="T2" s="26">
        <v>20000</v>
      </c>
      <c r="U2" s="26">
        <v>20000</v>
      </c>
      <c r="V2" s="26">
        <v>20000</v>
      </c>
      <c r="W2" s="26">
        <v>17619.98</v>
      </c>
    </row>
    <row r="3" spans="1:23" x14ac:dyDescent="0.25">
      <c r="A3" t="s">
        <v>36</v>
      </c>
      <c r="B3">
        <v>2271</v>
      </c>
      <c r="C3" t="s">
        <v>38</v>
      </c>
      <c r="D3" s="29">
        <v>5000</v>
      </c>
      <c r="E3" s="29">
        <v>5000</v>
      </c>
      <c r="F3" s="29">
        <v>5000</v>
      </c>
      <c r="G3" s="29">
        <v>5000</v>
      </c>
      <c r="H3" s="29">
        <v>5000</v>
      </c>
      <c r="I3" s="29">
        <v>5000</v>
      </c>
      <c r="J3" s="29">
        <v>6890.28</v>
      </c>
      <c r="K3" s="29">
        <v>8053.3</v>
      </c>
      <c r="L3">
        <v>5000</v>
      </c>
      <c r="M3">
        <v>13409.56</v>
      </c>
      <c r="N3">
        <v>5000</v>
      </c>
      <c r="O3">
        <v>8626.2900000000009</v>
      </c>
      <c r="P3" s="29">
        <v>5000</v>
      </c>
      <c r="Q3" s="29">
        <v>5000</v>
      </c>
      <c r="R3" s="29">
        <v>5000</v>
      </c>
      <c r="S3" s="29">
        <v>5000</v>
      </c>
      <c r="T3" s="29">
        <v>5000</v>
      </c>
      <c r="U3" s="29">
        <v>5000</v>
      </c>
      <c r="V3" s="29">
        <v>11798.8</v>
      </c>
      <c r="W3" s="29">
        <v>6285.85</v>
      </c>
    </row>
    <row r="4" spans="1:23" x14ac:dyDescent="0.25">
      <c r="A4" t="s">
        <v>36</v>
      </c>
      <c r="B4">
        <v>2271</v>
      </c>
      <c r="C4" t="s">
        <v>39</v>
      </c>
      <c r="D4" s="29">
        <v>5000</v>
      </c>
      <c r="E4" s="29">
        <v>5000</v>
      </c>
      <c r="F4" s="29">
        <v>5000</v>
      </c>
      <c r="G4" s="29">
        <v>5000</v>
      </c>
      <c r="H4" s="29">
        <v>5000</v>
      </c>
      <c r="I4" s="29">
        <v>5000</v>
      </c>
      <c r="J4" s="29">
        <v>5000</v>
      </c>
      <c r="K4" s="29">
        <v>8039.46</v>
      </c>
      <c r="L4">
        <v>6638.23</v>
      </c>
      <c r="M4">
        <v>4951.7700000000004</v>
      </c>
      <c r="N4">
        <v>5000</v>
      </c>
      <c r="O4">
        <v>5000</v>
      </c>
      <c r="P4" s="29">
        <v>5000</v>
      </c>
      <c r="Q4" s="29">
        <v>5000</v>
      </c>
      <c r="R4" s="29">
        <v>5000</v>
      </c>
      <c r="S4" s="29">
        <v>5000</v>
      </c>
      <c r="T4" s="29">
        <v>5000</v>
      </c>
      <c r="U4" s="29">
        <v>5560.66</v>
      </c>
      <c r="V4" s="29">
        <v>5000</v>
      </c>
      <c r="W4" s="29">
        <v>5000</v>
      </c>
    </row>
    <row r="5" spans="1:23" x14ac:dyDescent="0.25">
      <c r="A5" t="s">
        <v>36</v>
      </c>
      <c r="B5">
        <v>2271</v>
      </c>
      <c r="C5" t="s">
        <v>40</v>
      </c>
      <c r="D5" s="29">
        <v>4862.22</v>
      </c>
      <c r="E5" s="29">
        <v>2952.28</v>
      </c>
      <c r="F5" s="29">
        <v>1367.33</v>
      </c>
      <c r="G5" s="29">
        <v>5000</v>
      </c>
      <c r="H5" s="29">
        <v>5000</v>
      </c>
      <c r="I5" s="29">
        <v>14138.07</v>
      </c>
      <c r="J5" s="29">
        <v>5000</v>
      </c>
      <c r="K5" s="29">
        <v>3900.11</v>
      </c>
      <c r="L5">
        <v>5658.98</v>
      </c>
      <c r="M5">
        <v>14671.9</v>
      </c>
      <c r="N5">
        <v>5000</v>
      </c>
      <c r="O5">
        <v>5000</v>
      </c>
      <c r="P5" s="29">
        <v>5000</v>
      </c>
      <c r="Q5" s="29">
        <v>6359.19</v>
      </c>
      <c r="R5" s="29">
        <v>5000</v>
      </c>
      <c r="S5" s="29">
        <v>5000</v>
      </c>
      <c r="T5" s="29">
        <v>11377.55</v>
      </c>
      <c r="U5" s="29">
        <v>9903.18</v>
      </c>
      <c r="V5" s="29">
        <v>7916.45</v>
      </c>
      <c r="W5" s="29">
        <v>5650.09</v>
      </c>
    </row>
    <row r="6" spans="1:23" x14ac:dyDescent="0.25">
      <c r="A6" t="s">
        <v>36</v>
      </c>
      <c r="B6">
        <v>2271</v>
      </c>
      <c r="C6" t="s">
        <v>41</v>
      </c>
      <c r="D6" s="29">
        <v>5000</v>
      </c>
      <c r="E6" s="29">
        <v>5000</v>
      </c>
      <c r="F6" s="29">
        <v>5000</v>
      </c>
      <c r="G6" s="29">
        <v>5000</v>
      </c>
      <c r="H6" s="29">
        <v>6001.16</v>
      </c>
      <c r="I6" s="29">
        <v>5000</v>
      </c>
      <c r="J6" s="29">
        <v>5000</v>
      </c>
      <c r="K6" s="29">
        <v>8582.7099999999991</v>
      </c>
      <c r="L6">
        <v>7433.62</v>
      </c>
      <c r="M6">
        <v>4700.75</v>
      </c>
      <c r="N6">
        <v>5000</v>
      </c>
      <c r="O6">
        <v>5000</v>
      </c>
      <c r="P6" s="29">
        <v>5000</v>
      </c>
      <c r="Q6" s="29">
        <v>5000</v>
      </c>
      <c r="R6" s="29">
        <v>4996.8</v>
      </c>
      <c r="S6" s="29">
        <v>5000</v>
      </c>
      <c r="T6" s="29">
        <v>5000</v>
      </c>
      <c r="U6" s="29">
        <v>6211.66</v>
      </c>
      <c r="V6" s="29">
        <v>5000</v>
      </c>
      <c r="W6" s="29">
        <v>5000</v>
      </c>
    </row>
    <row r="7" spans="1:23" x14ac:dyDescent="0.25">
      <c r="A7" t="s">
        <v>36</v>
      </c>
      <c r="B7">
        <v>3100</v>
      </c>
      <c r="C7" t="s">
        <v>42</v>
      </c>
      <c r="D7">
        <v>5000</v>
      </c>
      <c r="E7">
        <v>13095.76</v>
      </c>
      <c r="F7">
        <v>5300</v>
      </c>
      <c r="G7">
        <v>5000</v>
      </c>
      <c r="H7">
        <v>5000</v>
      </c>
      <c r="I7">
        <v>5000</v>
      </c>
      <c r="J7" s="29">
        <v>26288.94</v>
      </c>
      <c r="K7">
        <v>5000</v>
      </c>
      <c r="L7">
        <v>7609.62</v>
      </c>
      <c r="M7">
        <v>6645.85</v>
      </c>
      <c r="N7">
        <v>31648.76</v>
      </c>
      <c r="O7">
        <v>5000</v>
      </c>
      <c r="P7" s="29">
        <v>4268.92</v>
      </c>
      <c r="Q7" s="29">
        <v>5691.62</v>
      </c>
      <c r="R7" s="29">
        <v>4996.8</v>
      </c>
      <c r="S7" s="29">
        <v>5000</v>
      </c>
      <c r="T7" s="29">
        <v>2049.73</v>
      </c>
      <c r="U7" s="29">
        <v>5000</v>
      </c>
      <c r="V7" s="29">
        <v>1000</v>
      </c>
      <c r="W7" s="29">
        <v>8002.36</v>
      </c>
    </row>
    <row r="8" spans="1:23" x14ac:dyDescent="0.25">
      <c r="A8" t="s">
        <v>36</v>
      </c>
      <c r="B8">
        <v>3100</v>
      </c>
      <c r="C8" t="s">
        <v>43</v>
      </c>
      <c r="D8">
        <v>1000</v>
      </c>
      <c r="E8">
        <v>21000</v>
      </c>
      <c r="F8">
        <v>33593.120000000003</v>
      </c>
      <c r="G8">
        <v>1000</v>
      </c>
      <c r="H8">
        <v>1000</v>
      </c>
      <c r="I8">
        <v>1000</v>
      </c>
      <c r="J8" s="29">
        <v>47435.65</v>
      </c>
      <c r="K8">
        <v>1000</v>
      </c>
      <c r="L8">
        <v>1000</v>
      </c>
      <c r="M8">
        <v>1000</v>
      </c>
      <c r="N8">
        <v>12488.73</v>
      </c>
      <c r="O8">
        <v>78740.25</v>
      </c>
      <c r="P8" s="29">
        <v>1000.01</v>
      </c>
      <c r="Q8" s="29">
        <v>1000</v>
      </c>
      <c r="R8" s="29">
        <v>13656.58</v>
      </c>
      <c r="S8" s="29">
        <v>1000</v>
      </c>
      <c r="T8" s="29">
        <v>5000</v>
      </c>
      <c r="U8" s="29">
        <v>62632.02</v>
      </c>
      <c r="V8" s="29">
        <f>1000+2823.46+4139.35-48.87</f>
        <v>7913.9400000000005</v>
      </c>
      <c r="W8" s="29">
        <v>9034.49</v>
      </c>
    </row>
    <row r="9" spans="1:23" x14ac:dyDescent="0.25">
      <c r="A9" t="s">
        <v>36</v>
      </c>
      <c r="B9">
        <v>3100</v>
      </c>
      <c r="C9" t="s">
        <v>44</v>
      </c>
      <c r="D9">
        <v>736.6</v>
      </c>
      <c r="E9">
        <v>28595.71</v>
      </c>
      <c r="F9">
        <v>500</v>
      </c>
      <c r="G9">
        <v>500</v>
      </c>
      <c r="H9">
        <v>500</v>
      </c>
      <c r="I9">
        <v>500</v>
      </c>
      <c r="J9" s="29">
        <v>10500</v>
      </c>
      <c r="K9">
        <v>500</v>
      </c>
      <c r="L9">
        <v>500</v>
      </c>
      <c r="M9">
        <v>736.6</v>
      </c>
      <c r="N9">
        <v>500</v>
      </c>
      <c r="O9">
        <v>34897.879999999997</v>
      </c>
      <c r="P9" s="29">
        <v>2483.2600000000002</v>
      </c>
      <c r="Q9" s="29">
        <v>10914.94</v>
      </c>
      <c r="R9" s="29">
        <v>489.68</v>
      </c>
      <c r="S9" s="29">
        <v>500</v>
      </c>
      <c r="T9" s="29">
        <v>10127.82</v>
      </c>
      <c r="U9" s="29">
        <v>33134.07</v>
      </c>
      <c r="V9" s="29">
        <v>500</v>
      </c>
      <c r="W9" s="29">
        <v>6536.32</v>
      </c>
    </row>
    <row r="10" spans="1:23" x14ac:dyDescent="0.25">
      <c r="A10" t="s">
        <v>12</v>
      </c>
      <c r="D10">
        <f t="shared" ref="D10" si="0">SUM(D2:D9)</f>
        <v>29278.43</v>
      </c>
      <c r="E10">
        <f t="shared" ref="E10:F10" si="1">SUM(E2:E9)</f>
        <v>109427.56</v>
      </c>
      <c r="F10">
        <f t="shared" si="1"/>
        <v>265161.28999999998</v>
      </c>
      <c r="G10">
        <f t="shared" ref="G10:H10" si="2">SUM(G2:G9)</f>
        <v>46500</v>
      </c>
      <c r="H10">
        <f t="shared" si="2"/>
        <v>44501.16</v>
      </c>
      <c r="I10">
        <f t="shared" ref="I10:J10" si="3">SUM(I2:I9)</f>
        <v>71219.17</v>
      </c>
      <c r="J10">
        <f t="shared" si="3"/>
        <v>147088.62</v>
      </c>
      <c r="K10">
        <f t="shared" ref="K10:O10" si="4">SUM(K2:K9)</f>
        <v>52075.58</v>
      </c>
      <c r="L10">
        <f t="shared" si="4"/>
        <v>53781.710000000006</v>
      </c>
      <c r="M10">
        <f t="shared" si="4"/>
        <v>64977.46</v>
      </c>
      <c r="N10">
        <f t="shared" si="4"/>
        <v>100764.01</v>
      </c>
      <c r="O10">
        <f t="shared" si="4"/>
        <v>338377.31000000006</v>
      </c>
      <c r="P10" s="30">
        <f t="shared" ref="P10" si="5">SUM(P2:P9)</f>
        <v>44109.39</v>
      </c>
      <c r="Q10" s="30">
        <f t="shared" ref="Q10" si="6">SUM(Q2:Q9)</f>
        <v>58965.750000000007</v>
      </c>
      <c r="R10" s="30">
        <f t="shared" ref="R10" si="7">SUM(R2:R9)</f>
        <v>47586.36</v>
      </c>
      <c r="S10" s="30">
        <f t="shared" ref="S10" si="8">SUM(S2:S9)</f>
        <v>46500</v>
      </c>
      <c r="T10" s="30">
        <f t="shared" ref="T10" si="9">SUM(T2:T9)</f>
        <v>63555.100000000006</v>
      </c>
      <c r="U10" s="30">
        <f t="shared" ref="U10" si="10">SUM(U2:U9)</f>
        <v>147441.59</v>
      </c>
      <c r="V10" s="30">
        <f t="shared" ref="V10" si="11">SUM(V2:V9)</f>
        <v>59129.19</v>
      </c>
      <c r="W10" s="30">
        <f t="shared" ref="W10" si="12">SUM(W2:W9)</f>
        <v>63129.09</v>
      </c>
    </row>
    <row r="11" spans="1:23" x14ac:dyDescent="0.25">
      <c r="P11" s="26"/>
      <c r="Q11" s="26"/>
      <c r="R11" s="26"/>
      <c r="S11" s="26"/>
      <c r="T11" s="26"/>
      <c r="U11" s="26"/>
      <c r="V11" s="26"/>
      <c r="W11" s="26"/>
    </row>
    <row r="12" spans="1:23" x14ac:dyDescent="0.25">
      <c r="A12" t="s">
        <v>45</v>
      </c>
      <c r="B12" t="s">
        <v>46</v>
      </c>
      <c r="P12" s="26"/>
      <c r="Q12" s="26"/>
      <c r="R12" s="26"/>
      <c r="S12" s="26"/>
      <c r="T12" s="26"/>
      <c r="U12" s="26"/>
      <c r="V12" s="26"/>
      <c r="W12" s="26"/>
    </row>
    <row r="13" spans="1:23" x14ac:dyDescent="0.25">
      <c r="A13" t="s">
        <v>47</v>
      </c>
      <c r="B13" t="s">
        <v>48</v>
      </c>
      <c r="C13" s="29"/>
      <c r="D13" s="29">
        <f>1188150298.93+336595.91</f>
        <v>1188486894.8400002</v>
      </c>
      <c r="E13" s="29">
        <v>1186497771.45</v>
      </c>
      <c r="F13" s="29">
        <v>1188865119.45</v>
      </c>
      <c r="G13" s="29">
        <v>1185669415.1199999</v>
      </c>
      <c r="H13" s="29">
        <f>1177943236.22+1372799.46</f>
        <v>1179316035.6800001</v>
      </c>
      <c r="I13" s="29">
        <v>1176332411.96</v>
      </c>
      <c r="J13" s="29">
        <v>1174932811.8</v>
      </c>
      <c r="K13" s="29">
        <v>1175967360.52</v>
      </c>
      <c r="L13" s="29">
        <v>1174007664.2</v>
      </c>
      <c r="M13" s="29">
        <v>1167547435.4000001</v>
      </c>
      <c r="N13" s="29">
        <v>1163747953.78</v>
      </c>
      <c r="O13" s="29">
        <v>1150388760.4100001</v>
      </c>
      <c r="P13" s="29">
        <v>1138812895.4400001</v>
      </c>
      <c r="Q13" s="29">
        <v>1137061151.29</v>
      </c>
      <c r="R13" s="29">
        <v>1124401402.8499999</v>
      </c>
      <c r="S13" s="29">
        <v>1120237709.26</v>
      </c>
      <c r="T13" s="29">
        <v>1115592207.5899999</v>
      </c>
      <c r="U13" s="29">
        <v>1106385260.77</v>
      </c>
      <c r="V13" s="29">
        <v>1093853820.03</v>
      </c>
      <c r="W13" s="29">
        <v>1086551640.1600001</v>
      </c>
    </row>
    <row r="14" spans="1:23" x14ac:dyDescent="0.25">
      <c r="A14" t="s">
        <v>49</v>
      </c>
      <c r="B14" t="s">
        <v>50</v>
      </c>
      <c r="D14" s="29">
        <f>609059284.02+807673.31</f>
        <v>609866957.32999992</v>
      </c>
      <c r="E14" s="29">
        <v>607633731.59000003</v>
      </c>
      <c r="F14" s="29">
        <v>605948574.25999999</v>
      </c>
      <c r="G14" s="29">
        <v>604559397.63999999</v>
      </c>
      <c r="H14" s="29">
        <f>597897073.86+2893377.5</f>
        <v>600790451.36000001</v>
      </c>
      <c r="I14" s="29">
        <v>597002938.10000002</v>
      </c>
      <c r="J14" s="29">
        <v>597623249.92999995</v>
      </c>
      <c r="K14" s="29">
        <v>596511783.78999996</v>
      </c>
      <c r="L14">
        <v>596057729.32000005</v>
      </c>
      <c r="M14">
        <v>591332624.64999998</v>
      </c>
      <c r="N14">
        <v>589822607.76999998</v>
      </c>
      <c r="O14">
        <v>577103292.16999996</v>
      </c>
      <c r="P14" s="29">
        <v>572605500.94000006</v>
      </c>
      <c r="Q14" s="29">
        <v>564867294.44000006</v>
      </c>
      <c r="R14" s="29">
        <v>548174389.82000005</v>
      </c>
      <c r="S14" s="29">
        <v>536135834.39999998</v>
      </c>
      <c r="T14" s="29">
        <f>526238566.84+51156.18</f>
        <v>526289723.01999998</v>
      </c>
      <c r="U14" s="29">
        <v>517842544.45999998</v>
      </c>
      <c r="V14" s="29">
        <v>506704362.99000001</v>
      </c>
      <c r="W14" s="29">
        <v>497935080.67000002</v>
      </c>
    </row>
    <row r="15" spans="1:23" x14ac:dyDescent="0.25">
      <c r="A15" t="s">
        <v>51</v>
      </c>
      <c r="B15" t="s">
        <v>52</v>
      </c>
      <c r="D15" s="29">
        <f>287189626.38+466124.07</f>
        <v>287655750.44999999</v>
      </c>
      <c r="E15" s="29">
        <v>285986325.5</v>
      </c>
      <c r="F15" s="29">
        <v>287377472.08999997</v>
      </c>
      <c r="G15" s="29">
        <v>287176148.88999999</v>
      </c>
      <c r="H15" s="29">
        <f>284298383.81+1869818.04</f>
        <v>286168201.85000002</v>
      </c>
      <c r="I15" s="29">
        <v>283582388.25</v>
      </c>
      <c r="J15" s="29">
        <v>283921231.44999999</v>
      </c>
      <c r="K15" s="29">
        <v>286456680.32999998</v>
      </c>
      <c r="L15">
        <v>286884044.13</v>
      </c>
      <c r="M15">
        <v>284233716</v>
      </c>
      <c r="N15">
        <v>283562996</v>
      </c>
      <c r="O15">
        <v>280995739.20999998</v>
      </c>
      <c r="P15" s="29">
        <v>284012438.38</v>
      </c>
      <c r="Q15" s="29">
        <v>283298192.11000001</v>
      </c>
      <c r="R15" s="29">
        <v>280672657.19</v>
      </c>
      <c r="S15" s="29">
        <v>274556545.87</v>
      </c>
      <c r="T15" s="29">
        <f>272338901.03+28116.64</f>
        <v>272367017.66999996</v>
      </c>
      <c r="U15" s="29">
        <v>269352691.87</v>
      </c>
      <c r="V15" s="29">
        <v>264051962.66999999</v>
      </c>
      <c r="W15" s="29">
        <v>260767210.53999999</v>
      </c>
    </row>
    <row r="16" spans="1:23" x14ac:dyDescent="0.25">
      <c r="A16" t="s">
        <v>53</v>
      </c>
      <c r="B16" t="s">
        <v>54</v>
      </c>
      <c r="D16" s="29">
        <v>17225966.940000001</v>
      </c>
      <c r="E16" s="29">
        <v>17198898.030000001</v>
      </c>
      <c r="F16" s="29">
        <v>17319078.690000001</v>
      </c>
      <c r="G16" s="29">
        <f>17312408.24-42460.15</f>
        <v>17269948.09</v>
      </c>
      <c r="H16" s="29">
        <v>17242373.059999999</v>
      </c>
      <c r="I16" s="29">
        <v>17295514.300000001</v>
      </c>
      <c r="J16" s="29">
        <v>17391416.140000001</v>
      </c>
      <c r="K16" s="29">
        <v>17316575.789999999</v>
      </c>
      <c r="L16">
        <v>17352826.09</v>
      </c>
      <c r="M16">
        <v>17371742.219999999</v>
      </c>
      <c r="N16">
        <v>17511588.600000001</v>
      </c>
      <c r="O16">
        <v>17601670.23</v>
      </c>
      <c r="P16" s="29">
        <v>17711609.059999999</v>
      </c>
      <c r="Q16" s="29">
        <v>17732701.690000001</v>
      </c>
      <c r="R16" s="29">
        <v>17806004.359999999</v>
      </c>
      <c r="S16" s="29">
        <v>17957482.73</v>
      </c>
      <c r="T16" s="29">
        <f>17863881.44+208375.2</f>
        <v>18072256.640000001</v>
      </c>
      <c r="U16" s="29">
        <f>17845221.68+67506.62</f>
        <v>17912728.300000001</v>
      </c>
      <c r="V16" s="29">
        <f>17980123.69+26224.53</f>
        <v>18006348.220000003</v>
      </c>
      <c r="W16" s="29">
        <v>18030952.23</v>
      </c>
    </row>
    <row r="17" spans="1:23" x14ac:dyDescent="0.25">
      <c r="A17" t="s">
        <v>55</v>
      </c>
      <c r="B17" s="32">
        <v>1020308010100</v>
      </c>
      <c r="D17" s="29">
        <v>38062066.869999997</v>
      </c>
      <c r="E17" s="29">
        <v>38334660.780000001</v>
      </c>
      <c r="F17" s="29">
        <v>37217734.479999997</v>
      </c>
      <c r="G17" s="29">
        <v>37217734.479999997</v>
      </c>
      <c r="H17" s="29">
        <v>36592065.979999997</v>
      </c>
      <c r="I17" s="29">
        <v>36592065.979999997</v>
      </c>
      <c r="J17" s="29">
        <v>38107066.670000002</v>
      </c>
      <c r="K17" s="29">
        <v>37132545.840000004</v>
      </c>
      <c r="L17">
        <v>37137933.350000001</v>
      </c>
      <c r="M17">
        <v>37137933.350000001</v>
      </c>
      <c r="N17">
        <v>37494177.670000002</v>
      </c>
      <c r="O17">
        <v>37113277.219999999</v>
      </c>
      <c r="P17" s="29">
        <v>36255359.25</v>
      </c>
      <c r="Q17" s="29">
        <v>35989165.770000003</v>
      </c>
      <c r="R17" s="29">
        <v>35619632.460000001</v>
      </c>
      <c r="S17" s="29">
        <v>34736786.729999997</v>
      </c>
      <c r="T17" s="29">
        <v>34150857.189999998</v>
      </c>
      <c r="U17" s="29">
        <v>33777528.520000003</v>
      </c>
      <c r="V17" s="29">
        <v>32930119.690000001</v>
      </c>
      <c r="W17" s="29">
        <v>32954198.170000002</v>
      </c>
    </row>
    <row r="18" spans="1:23" x14ac:dyDescent="0.25">
      <c r="A18" t="s">
        <v>12</v>
      </c>
      <c r="C18" s="28"/>
      <c r="D18" s="28">
        <f t="shared" ref="D18" si="13">SUM(D13:D17)</f>
        <v>2141297636.4300001</v>
      </c>
      <c r="E18" s="28">
        <f t="shared" ref="E18:F18" si="14">SUM(E13:E17)</f>
        <v>2135651387.3499999</v>
      </c>
      <c r="F18" s="28">
        <f t="shared" si="14"/>
        <v>2136727978.97</v>
      </c>
      <c r="G18" s="28">
        <f t="shared" ref="G18:H18" si="15">SUM(G13:G17)</f>
        <v>2131892644.2199996</v>
      </c>
      <c r="H18" s="28">
        <f t="shared" si="15"/>
        <v>2120109127.9299998</v>
      </c>
      <c r="I18" s="28">
        <f t="shared" ref="I18:J18" si="16">SUM(I13:I17)</f>
        <v>2110805318.5899999</v>
      </c>
      <c r="J18" s="28">
        <f t="shared" si="16"/>
        <v>2111975775.9900002</v>
      </c>
      <c r="K18" s="28">
        <f t="shared" ref="K18:O18" si="17">SUM(K13:K17)</f>
        <v>2113384946.2699997</v>
      </c>
      <c r="L18" s="28">
        <f t="shared" si="17"/>
        <v>2111440197.0899999</v>
      </c>
      <c r="M18" s="28">
        <f t="shared" si="17"/>
        <v>2097623451.6200001</v>
      </c>
      <c r="N18" s="28">
        <f t="shared" si="17"/>
        <v>2092139323.8199999</v>
      </c>
      <c r="O18" s="28">
        <f t="shared" si="17"/>
        <v>2063202739.24</v>
      </c>
      <c r="P18" s="26">
        <f t="shared" ref="P18" si="18">SUM(P13:P17)</f>
        <v>2049397803.0700002</v>
      </c>
      <c r="Q18" s="26">
        <f t="shared" ref="Q18" si="19">SUM(Q13:Q17)</f>
        <v>2038948505.3000002</v>
      </c>
      <c r="R18" s="26">
        <f t="shared" ref="R18" si="20">SUM(R13:R17)</f>
        <v>2006674086.6800001</v>
      </c>
      <c r="S18" s="26">
        <f t="shared" ref="S18" si="21">SUM(S13:S17)</f>
        <v>1983624358.9899998</v>
      </c>
      <c r="T18" s="26">
        <f t="shared" ref="T18" si="22">SUM(T13:T17)</f>
        <v>1966472062.1099999</v>
      </c>
      <c r="U18" s="26">
        <f t="shared" ref="U18" si="23">SUM(U13:U17)</f>
        <v>1945270753.9199998</v>
      </c>
      <c r="V18" s="26">
        <f t="shared" ref="V18" si="24">SUM(V13:V17)</f>
        <v>1915546613.6000001</v>
      </c>
      <c r="W18" s="26">
        <f t="shared" ref="W18" si="25">SUM(W13:W17)</f>
        <v>1896239081.7700002</v>
      </c>
    </row>
    <row r="19" spans="1:23" x14ac:dyDescent="0.25">
      <c r="P19" s="26"/>
      <c r="Q19" s="26"/>
      <c r="R19" s="26"/>
      <c r="S19" s="26"/>
      <c r="T19" s="26"/>
      <c r="U19" s="26"/>
      <c r="V19" s="26"/>
      <c r="W19" s="26"/>
    </row>
    <row r="20" spans="1:23" x14ac:dyDescent="0.25">
      <c r="A20" t="s">
        <v>56</v>
      </c>
      <c r="P20" s="26"/>
      <c r="Q20" s="26"/>
      <c r="R20" s="26"/>
      <c r="S20" s="26"/>
      <c r="T20" s="26"/>
      <c r="U20" s="26"/>
      <c r="V20" s="26"/>
      <c r="W20" s="26"/>
    </row>
    <row r="21" spans="1:23" x14ac:dyDescent="0.25">
      <c r="A21" t="s">
        <v>20</v>
      </c>
      <c r="B21" t="s">
        <v>27</v>
      </c>
      <c r="C21" t="s">
        <v>28</v>
      </c>
      <c r="P21" s="26"/>
      <c r="Q21" s="26"/>
      <c r="R21" s="26"/>
      <c r="S21" s="26"/>
      <c r="T21" s="26"/>
      <c r="U21" s="26"/>
      <c r="V21" s="26"/>
      <c r="W21" s="26"/>
    </row>
    <row r="22" spans="1:23" x14ac:dyDescent="0.25">
      <c r="A22" t="s">
        <v>36</v>
      </c>
      <c r="B22">
        <v>82</v>
      </c>
      <c r="C22" t="s">
        <v>57</v>
      </c>
      <c r="D22" s="29">
        <v>765750.11</v>
      </c>
      <c r="E22" s="29">
        <v>28604.16</v>
      </c>
      <c r="F22" s="29">
        <v>22490.58</v>
      </c>
      <c r="G22" s="29">
        <v>30000</v>
      </c>
      <c r="H22" s="29">
        <v>30000</v>
      </c>
      <c r="I22" s="29">
        <v>27139.91</v>
      </c>
      <c r="J22" s="29">
        <v>28640.28</v>
      </c>
      <c r="K22">
        <v>1000</v>
      </c>
      <c r="L22">
        <v>50000</v>
      </c>
      <c r="M22">
        <v>31932.04</v>
      </c>
      <c r="N22">
        <v>34860.870000000003</v>
      </c>
      <c r="O22">
        <v>910358.54</v>
      </c>
      <c r="P22" s="26">
        <v>23564.26</v>
      </c>
      <c r="Q22" s="26">
        <v>29983.66</v>
      </c>
      <c r="R22" s="26">
        <v>30000</v>
      </c>
      <c r="S22" s="26">
        <v>30000</v>
      </c>
      <c r="T22" s="26">
        <v>30102.59</v>
      </c>
      <c r="U22" s="26">
        <v>29983.18</v>
      </c>
      <c r="V22" s="26">
        <v>30000</v>
      </c>
      <c r="W22" s="26">
        <v>30000</v>
      </c>
    </row>
    <row r="23" spans="1:23" x14ac:dyDescent="0.25">
      <c r="A23" t="s">
        <v>58</v>
      </c>
      <c r="B23">
        <v>3416</v>
      </c>
      <c r="C23" t="s">
        <v>59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 s="26">
        <v>1</v>
      </c>
      <c r="Q23" s="26">
        <v>1</v>
      </c>
      <c r="R23" s="26">
        <v>1</v>
      </c>
      <c r="S23" s="26">
        <v>1</v>
      </c>
      <c r="T23" s="26">
        <v>1</v>
      </c>
      <c r="U23" s="26">
        <v>37.01</v>
      </c>
      <c r="V23" s="26">
        <v>37.01</v>
      </c>
      <c r="W23" s="26">
        <v>37.01</v>
      </c>
    </row>
    <row r="24" spans="1:23" x14ac:dyDescent="0.25">
      <c r="A24" t="s">
        <v>12</v>
      </c>
      <c r="D24">
        <f t="shared" ref="D24" si="26">SUM(D22:D23)</f>
        <v>765751.11</v>
      </c>
      <c r="E24">
        <f t="shared" ref="E24:F24" si="27">SUM(E22:E23)</f>
        <v>28605.16</v>
      </c>
      <c r="F24">
        <f t="shared" si="27"/>
        <v>22491.58</v>
      </c>
      <c r="G24">
        <f t="shared" ref="G24:H24" si="28">SUM(G22:G23)</f>
        <v>30001</v>
      </c>
      <c r="H24">
        <f t="shared" si="28"/>
        <v>30001</v>
      </c>
      <c r="I24">
        <f t="shared" ref="I24:J24" si="29">SUM(I22:I23)</f>
        <v>27140.91</v>
      </c>
      <c r="J24">
        <f t="shared" si="29"/>
        <v>28641.279999999999</v>
      </c>
      <c r="K24">
        <f t="shared" ref="K24:O24" si="30">SUM(K22:K23)</f>
        <v>1001</v>
      </c>
      <c r="L24">
        <f t="shared" si="30"/>
        <v>50001</v>
      </c>
      <c r="M24">
        <f t="shared" si="30"/>
        <v>31933.040000000001</v>
      </c>
      <c r="N24">
        <f t="shared" si="30"/>
        <v>34861.870000000003</v>
      </c>
      <c r="O24">
        <f t="shared" si="30"/>
        <v>910359.54</v>
      </c>
      <c r="P24" s="30">
        <f t="shared" ref="P24" si="31">SUM(P22:P23)</f>
        <v>23565.26</v>
      </c>
      <c r="Q24" s="30">
        <f t="shared" ref="Q24" si="32">SUM(Q22:Q23)</f>
        <v>29984.66</v>
      </c>
      <c r="R24" s="30">
        <f t="shared" ref="R24" si="33">SUM(R22:R23)</f>
        <v>30001</v>
      </c>
      <c r="S24" s="30">
        <f t="shared" ref="S24" si="34">SUM(S22:S23)</f>
        <v>30001</v>
      </c>
      <c r="T24" s="30">
        <f t="shared" ref="T24" si="35">SUM(T22:T23)</f>
        <v>30103.59</v>
      </c>
      <c r="U24" s="30">
        <f t="shared" ref="U24" si="36">SUM(U22:U23)</f>
        <v>30020.19</v>
      </c>
      <c r="V24" s="30">
        <f t="shared" ref="V24" si="37">SUM(V22:V23)</f>
        <v>30037.01</v>
      </c>
      <c r="W24" s="30">
        <f t="shared" ref="W24" si="38">SUM(W22:W23)</f>
        <v>30037.01</v>
      </c>
    </row>
    <row r="25" spans="1:23" x14ac:dyDescent="0.25">
      <c r="P25" s="26"/>
      <c r="Q25" s="26"/>
      <c r="R25" s="26"/>
      <c r="S25" s="26"/>
      <c r="T25" s="26"/>
      <c r="U25" s="26"/>
      <c r="V25" s="26"/>
      <c r="W25" s="26"/>
    </row>
    <row r="26" spans="1:23" x14ac:dyDescent="0.25">
      <c r="A26" t="s">
        <v>45</v>
      </c>
      <c r="B26" t="s">
        <v>46</v>
      </c>
      <c r="P26" s="26"/>
      <c r="Q26" s="26"/>
      <c r="R26" s="26"/>
      <c r="S26" s="26"/>
      <c r="T26" s="26"/>
      <c r="U26" s="26"/>
      <c r="V26" s="26"/>
      <c r="W26" s="26"/>
    </row>
    <row r="27" spans="1:23" x14ac:dyDescent="0.25">
      <c r="A27" t="s">
        <v>58</v>
      </c>
      <c r="B27" t="s">
        <v>58</v>
      </c>
      <c r="D27" s="29">
        <v>29325862.379999999</v>
      </c>
      <c r="E27" s="29">
        <v>39128835.280000001</v>
      </c>
      <c r="F27" s="29">
        <v>39123142.049999997</v>
      </c>
      <c r="G27" s="29">
        <v>38962184.119999997</v>
      </c>
      <c r="H27" s="29">
        <v>39055251.369999997</v>
      </c>
      <c r="I27" s="29">
        <v>38756748.799999997</v>
      </c>
      <c r="J27" s="29">
        <v>39008845.18</v>
      </c>
      <c r="K27" s="29">
        <f>30762662.08+7975601.21+200000+100000</f>
        <v>39038263.289999999</v>
      </c>
      <c r="L27" s="29">
        <f>30762662.08+7975601.21+200000</f>
        <v>38938263.289999999</v>
      </c>
      <c r="M27" s="29">
        <f>30762662.08+7975601.21+100000</f>
        <v>38838263.289999999</v>
      </c>
      <c r="N27" s="29">
        <f>30762662.08+7975601.21</f>
        <v>38738263.289999999</v>
      </c>
      <c r="O27" s="29">
        <f>30762662.08+7478069.48</f>
        <v>38240731.560000002</v>
      </c>
      <c r="P27" s="29">
        <v>43056472.350000001</v>
      </c>
      <c r="Q27" s="29">
        <v>48172610.259999998</v>
      </c>
      <c r="R27" s="29">
        <v>54751123.210000001</v>
      </c>
      <c r="S27" s="29">
        <v>58030113.460000001</v>
      </c>
      <c r="T27" s="29">
        <f>80222645.63-15200000+170000+4926806.93+200000+200000</f>
        <v>70519452.560000002</v>
      </c>
      <c r="U27" s="29">
        <f>76109792.75+200000+731758.94+250000+210000</f>
        <v>77501551.689999998</v>
      </c>
      <c r="V27" s="29">
        <f>75883051.14+220000</f>
        <v>76103051.140000001</v>
      </c>
      <c r="W27" s="29">
        <f>70018579.4+291521.25</f>
        <v>70310100.650000006</v>
      </c>
    </row>
    <row r="28" spans="1:23" x14ac:dyDescent="0.25">
      <c r="A28" t="s">
        <v>36</v>
      </c>
      <c r="B28" t="s">
        <v>36</v>
      </c>
      <c r="D28" s="29">
        <v>75931601.620000005</v>
      </c>
      <c r="E28" s="29">
        <v>75728702</v>
      </c>
      <c r="F28" s="29">
        <v>81032183.719999999</v>
      </c>
      <c r="G28" s="29">
        <v>80818509.930000007</v>
      </c>
      <c r="H28" s="29">
        <f>79769087.5+320000</f>
        <v>80089087.5</v>
      </c>
      <c r="I28" s="29">
        <v>81235150.969999999</v>
      </c>
      <c r="J28" s="29">
        <v>81059689.040000007</v>
      </c>
      <c r="K28" s="29">
        <v>78262941.180000007</v>
      </c>
      <c r="L28" s="29">
        <v>77930730.390000001</v>
      </c>
      <c r="M28" s="29">
        <v>78713547.959999993</v>
      </c>
      <c r="N28" s="29">
        <v>78501275.939999998</v>
      </c>
      <c r="O28" s="29">
        <f>68416839.51+5420095.22</f>
        <v>73836934.730000004</v>
      </c>
      <c r="P28" s="29">
        <v>67422645.359999999</v>
      </c>
      <c r="Q28" s="29">
        <v>55971543.950000003</v>
      </c>
      <c r="R28" s="29">
        <f>41868329.93+205000</f>
        <v>42073329.93</v>
      </c>
      <c r="S28" s="29">
        <v>37036180.109999999</v>
      </c>
      <c r="T28" s="29">
        <v>23323096.719999999</v>
      </c>
      <c r="U28" s="29">
        <v>25055295.5</v>
      </c>
      <c r="V28" s="29">
        <v>26126717.84</v>
      </c>
      <c r="W28" s="29">
        <v>29020972.670000002</v>
      </c>
    </row>
    <row r="29" spans="1:23" x14ac:dyDescent="0.25">
      <c r="A29" t="s">
        <v>60</v>
      </c>
      <c r="B29" t="s">
        <v>61</v>
      </c>
      <c r="C29">
        <v>12823624</v>
      </c>
      <c r="D29">
        <v>2279519.84</v>
      </c>
      <c r="E29">
        <v>2279519.84</v>
      </c>
      <c r="F29">
        <v>2262457.9500000002</v>
      </c>
      <c r="G29">
        <v>2262457.9500000002</v>
      </c>
      <c r="H29">
        <v>2262457.9500000002</v>
      </c>
      <c r="I29">
        <v>2335593.66</v>
      </c>
      <c r="J29">
        <v>2335593.66</v>
      </c>
      <c r="K29">
        <v>2335593.66</v>
      </c>
      <c r="L29">
        <v>2335593.66</v>
      </c>
      <c r="M29">
        <v>2335593.66</v>
      </c>
      <c r="N29">
        <v>2335593.66</v>
      </c>
      <c r="O29" s="28">
        <f>500000+1814517.95</f>
        <v>2314517.9500000002</v>
      </c>
      <c r="P29" s="30">
        <v>2297885.79</v>
      </c>
      <c r="Q29" s="30">
        <v>2297885.79</v>
      </c>
      <c r="R29" s="30">
        <v>2215976.16</v>
      </c>
      <c r="S29" s="30">
        <v>2159483.2200000002</v>
      </c>
      <c r="T29" s="30">
        <v>2147954.23</v>
      </c>
      <c r="U29" s="30">
        <v>2094141.56</v>
      </c>
      <c r="V29" s="30">
        <f>500000+1487897.08</f>
        <v>1987897.08</v>
      </c>
      <c r="W29" s="30">
        <v>2048536.35</v>
      </c>
    </row>
    <row r="30" spans="1:23" x14ac:dyDescent="0.25">
      <c r="A30" t="s">
        <v>62</v>
      </c>
      <c r="B30">
        <v>1219001</v>
      </c>
      <c r="C30">
        <v>21</v>
      </c>
      <c r="D30" s="29">
        <v>1668499.09</v>
      </c>
      <c r="E30" s="29">
        <v>1661853.72</v>
      </c>
      <c r="F30" s="29">
        <v>1661853.72</v>
      </c>
      <c r="G30" s="29">
        <v>1661853.72</v>
      </c>
      <c r="H30" s="29">
        <v>1661853.72</v>
      </c>
      <c r="I30" s="29">
        <v>1648662.01</v>
      </c>
      <c r="J30" s="29">
        <v>1648662.01</v>
      </c>
      <c r="K30" s="29">
        <v>1648662.01</v>
      </c>
      <c r="L30" s="29">
        <v>1648662.01</v>
      </c>
      <c r="M30" s="29">
        <v>1648662.01</v>
      </c>
      <c r="N30" s="29">
        <v>1648662.01</v>
      </c>
      <c r="O30" s="29">
        <v>1648662.01</v>
      </c>
      <c r="P30" s="29">
        <v>1642115.34</v>
      </c>
      <c r="Q30" s="29">
        <v>1598077.14</v>
      </c>
      <c r="R30" s="29">
        <f>3049646.11-205696.96</f>
        <v>2843949.15</v>
      </c>
      <c r="S30" s="29">
        <v>3046859.79</v>
      </c>
      <c r="T30" s="29">
        <v>3046859.79</v>
      </c>
      <c r="U30" s="29">
        <v>3174173.74</v>
      </c>
      <c r="V30" s="29">
        <v>3142648.84</v>
      </c>
      <c r="W30" s="29">
        <v>3142648.84</v>
      </c>
    </row>
    <row r="31" spans="1:23" x14ac:dyDescent="0.25">
      <c r="A31" t="s">
        <v>63</v>
      </c>
      <c r="B31" t="s">
        <v>64</v>
      </c>
      <c r="D31" s="30">
        <f>7746718.47+1200000</f>
        <v>8946718.4699999988</v>
      </c>
      <c r="E31" s="30">
        <f>7746718.47+1200000</f>
        <v>8946718.4699999988</v>
      </c>
      <c r="F31" s="30">
        <f>7746718.47+1200000</f>
        <v>8946718.4699999988</v>
      </c>
      <c r="G31" s="30">
        <f>7746718.47+1200000</f>
        <v>8946718.4699999988</v>
      </c>
      <c r="H31" s="30">
        <f>7846718.47+1200000</f>
        <v>9046718.4699999988</v>
      </c>
      <c r="I31" s="30">
        <f>7846718.47+1200000</f>
        <v>9046718.4699999988</v>
      </c>
      <c r="J31" s="30">
        <f t="shared" ref="J31:N31" si="39">7946718.47+1200000</f>
        <v>9146718.4699999988</v>
      </c>
      <c r="K31" s="30">
        <f t="shared" si="39"/>
        <v>9146718.4699999988</v>
      </c>
      <c r="L31" s="30">
        <f t="shared" si="39"/>
        <v>9146718.4699999988</v>
      </c>
      <c r="M31" s="30">
        <f t="shared" si="39"/>
        <v>9146718.4699999988</v>
      </c>
      <c r="N31" s="30">
        <f t="shared" si="39"/>
        <v>9146718.4699999988</v>
      </c>
      <c r="O31" s="30">
        <f>8046718.47+1200000</f>
        <v>9246718.4699999988</v>
      </c>
      <c r="P31" s="30">
        <f>8146718.47+1200000</f>
        <v>9346718.4699999988</v>
      </c>
      <c r="Q31" s="30">
        <f>6546718.47+2900000</f>
        <v>9446718.4699999988</v>
      </c>
      <c r="R31" s="30">
        <f t="shared" ref="R31:W31" si="40">2100000+7446718.47</f>
        <v>9546718.4699999988</v>
      </c>
      <c r="S31" s="30">
        <f t="shared" si="40"/>
        <v>9546718.4699999988</v>
      </c>
      <c r="T31" s="30">
        <f t="shared" si="40"/>
        <v>9546718.4699999988</v>
      </c>
      <c r="U31" s="30">
        <f t="shared" si="40"/>
        <v>9546718.4699999988</v>
      </c>
      <c r="V31" s="30">
        <f t="shared" si="40"/>
        <v>9546718.4699999988</v>
      </c>
      <c r="W31" s="30">
        <f t="shared" si="40"/>
        <v>9546718.4699999988</v>
      </c>
    </row>
    <row r="32" spans="1:23" x14ac:dyDescent="0.25">
      <c r="A32" t="s">
        <v>65</v>
      </c>
      <c r="B32" t="s">
        <v>66</v>
      </c>
      <c r="D32">
        <f>41227764.42+140730260.22</f>
        <v>181958024.63999999</v>
      </c>
      <c r="E32">
        <f>37561097.75+126396926.89+8000000</f>
        <v>171958024.63999999</v>
      </c>
      <c r="F32">
        <f>32941102.36+129119762.71</f>
        <v>162060865.06999999</v>
      </c>
      <c r="G32">
        <f>32941102.36+129119762.71</f>
        <v>162060865.06999999</v>
      </c>
      <c r="H32">
        <f>36585500.59+129119762.71</f>
        <v>165705263.30000001</v>
      </c>
      <c r="I32">
        <f>36585500.59+129119762.71</f>
        <v>165705263.30000001</v>
      </c>
      <c r="J32">
        <f>36585500.59+129119762.71</f>
        <v>165705263.30000001</v>
      </c>
      <c r="K32">
        <f>32000633.92+131751881.61</f>
        <v>163752515.53</v>
      </c>
      <c r="L32">
        <f>32000633.92+131751881.61</f>
        <v>163752515.53</v>
      </c>
      <c r="M32">
        <f>35679117.1+131751881.61</f>
        <v>167430998.71000001</v>
      </c>
      <c r="N32">
        <f>35679117.1+131751881.61</f>
        <v>167430998.71000001</v>
      </c>
      <c r="O32">
        <f>30661417.4+138587231.45</f>
        <v>169248648.84999999</v>
      </c>
      <c r="P32" s="29">
        <v>171961247.63999999</v>
      </c>
      <c r="Q32" s="29">
        <f>33374016.19+143230925.48</f>
        <v>176604941.66999999</v>
      </c>
      <c r="R32" s="29">
        <f>31726204.55+145218246.85</f>
        <v>176944451.40000001</v>
      </c>
      <c r="S32" s="29">
        <f>30281592.62+147212420.47</f>
        <v>177494013.09</v>
      </c>
      <c r="T32" s="29">
        <f>29869592.92+142944945.1</f>
        <v>172814538.01999998</v>
      </c>
      <c r="U32" s="29">
        <f>30924213.82+131104466.4</f>
        <v>162028680.22</v>
      </c>
      <c r="V32" s="29">
        <f>29724104.79+133644262.05</f>
        <v>163368366.84</v>
      </c>
      <c r="W32" s="29">
        <f>33500492.32+133644262.05</f>
        <v>167144754.37</v>
      </c>
    </row>
    <row r="33" spans="1:23" x14ac:dyDescent="0.25">
      <c r="A33" t="s">
        <v>12</v>
      </c>
      <c r="B33" s="29"/>
      <c r="D33">
        <f t="shared" ref="D33" si="41">SUM(D27:D32)</f>
        <v>300110226.03999996</v>
      </c>
      <c r="E33">
        <f t="shared" ref="E33:F33" si="42">SUM(E27:E32)</f>
        <v>299703653.94999999</v>
      </c>
      <c r="F33">
        <f t="shared" si="42"/>
        <v>295087220.98000002</v>
      </c>
      <c r="G33">
        <f t="shared" ref="G33:H33" si="43">SUM(G27:G32)</f>
        <v>294712589.25999999</v>
      </c>
      <c r="H33">
        <f t="shared" si="43"/>
        <v>297820632.31</v>
      </c>
      <c r="I33">
        <f t="shared" ref="I33:J33" si="44">SUM(I27:I32)</f>
        <v>298728137.21000004</v>
      </c>
      <c r="J33">
        <f t="shared" si="44"/>
        <v>298904771.66000003</v>
      </c>
      <c r="K33">
        <f t="shared" ref="K33:O33" si="45">SUM(K27:K32)</f>
        <v>294184694.13999999</v>
      </c>
      <c r="L33">
        <f t="shared" si="45"/>
        <v>293752483.35000002</v>
      </c>
      <c r="M33">
        <f t="shared" si="45"/>
        <v>298113784.10000002</v>
      </c>
      <c r="N33">
        <f t="shared" si="45"/>
        <v>297801512.07999998</v>
      </c>
      <c r="O33">
        <f t="shared" si="45"/>
        <v>294536213.56999999</v>
      </c>
      <c r="P33" s="30">
        <f t="shared" ref="P33" si="46">SUM(P27:P32)</f>
        <v>295727084.94999999</v>
      </c>
      <c r="Q33" s="30">
        <f t="shared" ref="Q33" si="47">SUM(Q27:Q32)</f>
        <v>294091777.27999997</v>
      </c>
      <c r="R33" s="30">
        <f t="shared" ref="R33" si="48">SUM(R27:R32)</f>
        <v>288375548.31999999</v>
      </c>
      <c r="S33" s="30">
        <f t="shared" ref="S33" si="49">SUM(S27:S32)</f>
        <v>287313368.13999999</v>
      </c>
      <c r="T33" s="30">
        <f t="shared" ref="T33" si="50">SUM(T27:T32)</f>
        <v>281398619.78999996</v>
      </c>
      <c r="U33" s="30">
        <f t="shared" ref="U33" si="51">SUM(U27:U32)</f>
        <v>279400561.18000001</v>
      </c>
      <c r="V33" s="30">
        <f t="shared" ref="V33" si="52">SUM(V27:V32)</f>
        <v>280275400.21000004</v>
      </c>
      <c r="W33" s="30">
        <f t="shared" ref="W33" si="53">SUM(W27:W32)</f>
        <v>281213731.35000002</v>
      </c>
    </row>
    <row r="34" spans="1:23" x14ac:dyDescent="0.25">
      <c r="P34" s="26"/>
      <c r="Q34" s="26"/>
      <c r="R34" s="26"/>
      <c r="S34" s="26"/>
      <c r="T34" s="26"/>
      <c r="U34" s="26"/>
      <c r="V34" s="26"/>
      <c r="W34" s="26"/>
    </row>
    <row r="35" spans="1:23" x14ac:dyDescent="0.25">
      <c r="A35" t="s">
        <v>3</v>
      </c>
      <c r="P35" s="26"/>
      <c r="Q35" s="26"/>
      <c r="R35" s="26"/>
      <c r="S35" s="26"/>
      <c r="T35" s="26"/>
      <c r="U35" s="26"/>
      <c r="V35" s="26"/>
      <c r="W35" s="26"/>
    </row>
    <row r="36" spans="1:23" x14ac:dyDescent="0.25">
      <c r="A36" t="s">
        <v>20</v>
      </c>
      <c r="B36" t="s">
        <v>27</v>
      </c>
      <c r="C36" t="s">
        <v>28</v>
      </c>
      <c r="D36" t="str">
        <f t="shared" ref="D36" si="54">D1</f>
        <v>01/Julho</v>
      </c>
      <c r="E36" t="str">
        <f t="shared" ref="E36:F36" si="55">E1</f>
        <v>05/Junho</v>
      </c>
      <c r="F36" t="str">
        <f t="shared" si="55"/>
        <v>04/Junho</v>
      </c>
      <c r="G36" t="str">
        <f t="shared" ref="G36:L36" si="56">G1</f>
        <v>03/Junho</v>
      </c>
      <c r="H36" t="str">
        <f t="shared" si="56"/>
        <v>02/Junho</v>
      </c>
      <c r="I36" t="str">
        <f t="shared" si="56"/>
        <v>01/Junho</v>
      </c>
      <c r="J36" t="str">
        <f t="shared" si="56"/>
        <v>04/Maio</v>
      </c>
      <c r="K36" t="str">
        <f t="shared" si="56"/>
        <v>03/Maio</v>
      </c>
      <c r="L36" t="str">
        <f t="shared" si="56"/>
        <v>02/Maio</v>
      </c>
      <c r="M36" t="str">
        <f t="shared" ref="M36:O36" si="57">M1</f>
        <v>01/Maio</v>
      </c>
      <c r="N36" t="str">
        <f t="shared" si="57"/>
        <v>05/Abril</v>
      </c>
      <c r="O36" t="str">
        <f t="shared" si="57"/>
        <v>04/Março</v>
      </c>
      <c r="P36" s="26" t="str">
        <f t="shared" ref="P36" si="58">P1</f>
        <v>04/Fevereiro</v>
      </c>
      <c r="Q36" s="26" t="str">
        <f t="shared" ref="Q36" si="59">Q1</f>
        <v>04/Janeiro</v>
      </c>
      <c r="R36" s="26" t="str">
        <f t="shared" ref="R36" si="60">R1</f>
        <v>05/Dezembro</v>
      </c>
      <c r="S36" s="26" t="str">
        <f t="shared" ref="S36" si="61">S1</f>
        <v>04/Novembro</v>
      </c>
      <c r="T36" s="26" t="str">
        <f t="shared" ref="T36" si="62">T1</f>
        <v>04/Outubro</v>
      </c>
      <c r="U36" s="26" t="str">
        <f t="shared" ref="U36" si="63">U1</f>
        <v>04/Setembro</v>
      </c>
      <c r="V36" s="26" t="str">
        <f t="shared" ref="V36" si="64">V1</f>
        <v>04/Agosto</v>
      </c>
      <c r="W36" s="26" t="str">
        <f t="shared" ref="W36" si="65">W1</f>
        <v>04/Julho</v>
      </c>
    </row>
    <row r="37" spans="1:23" s="26" customFormat="1" x14ac:dyDescent="0.25">
      <c r="D37" s="26">
        <v>12245513.59</v>
      </c>
      <c r="E37" s="26">
        <v>12245513.59</v>
      </c>
      <c r="F37" s="26">
        <v>12245513.59</v>
      </c>
      <c r="G37" s="26">
        <v>12245513.59</v>
      </c>
      <c r="H37" s="26">
        <v>12245513.59</v>
      </c>
      <c r="I37" s="26">
        <v>12245513.59</v>
      </c>
      <c r="J37" s="26">
        <v>12245513.59</v>
      </c>
      <c r="K37" s="26">
        <v>12245513.59</v>
      </c>
      <c r="L37" s="26">
        <v>12208091.960000001</v>
      </c>
      <c r="M37" s="26">
        <v>12208091.960000001</v>
      </c>
      <c r="N37" s="26">
        <v>12208091.960000001</v>
      </c>
      <c r="O37" s="26">
        <v>12165836.369999999</v>
      </c>
      <c r="P37" s="29">
        <v>12127684.470000001</v>
      </c>
      <c r="Q37" s="29">
        <v>12088453.07</v>
      </c>
      <c r="R37" s="29">
        <v>12018519.1</v>
      </c>
      <c r="S37" s="29">
        <v>11939777.99</v>
      </c>
      <c r="T37" s="29">
        <v>11899149.26</v>
      </c>
      <c r="U37" s="29">
        <v>11848537.380000001</v>
      </c>
      <c r="V37" s="29">
        <v>11796275.02</v>
      </c>
      <c r="W37" s="29">
        <v>11751430.08</v>
      </c>
    </row>
    <row r="38" spans="1:23" s="26" customFormat="1" x14ac:dyDescent="0.25"/>
    <row r="39" spans="1:23" s="26" customFormat="1" x14ac:dyDescent="0.25">
      <c r="A39" s="26" t="s">
        <v>45</v>
      </c>
      <c r="B39" s="26" t="s">
        <v>46</v>
      </c>
    </row>
    <row r="40" spans="1:23" s="26" customFormat="1" x14ac:dyDescent="0.25">
      <c r="D40" s="26">
        <v>132136038.92</v>
      </c>
      <c r="E40" s="26">
        <v>132136038.92</v>
      </c>
      <c r="F40" s="26">
        <v>132136038.92</v>
      </c>
      <c r="G40" s="26">
        <v>132136038.92</v>
      </c>
      <c r="H40" s="26">
        <v>132136038.92</v>
      </c>
      <c r="I40" s="26">
        <v>132136038.92</v>
      </c>
      <c r="J40" s="26">
        <v>132136038.92</v>
      </c>
      <c r="K40" s="26">
        <v>132136038.92</v>
      </c>
      <c r="L40" s="26">
        <v>127961936.13</v>
      </c>
      <c r="M40" s="26">
        <v>127961936.13</v>
      </c>
      <c r="N40" s="26">
        <v>127961936.13</v>
      </c>
      <c r="O40" s="26">
        <v>119131557.79000001</v>
      </c>
      <c r="P40" s="29">
        <v>125123790.39</v>
      </c>
      <c r="Q40" s="29">
        <v>123409887.52</v>
      </c>
      <c r="R40" s="29">
        <v>119456729.92</v>
      </c>
      <c r="S40" s="29">
        <v>119586652.23</v>
      </c>
      <c r="T40" s="29">
        <v>118685794.38</v>
      </c>
      <c r="U40" s="29">
        <v>116890265.83</v>
      </c>
      <c r="V40" s="29">
        <v>113680741.81</v>
      </c>
      <c r="W40" s="29">
        <v>111115014.81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EA5E59716CA04482326D7D6394CBC5" ma:contentTypeVersion="18" ma:contentTypeDescription="Crie um novo documento." ma:contentTypeScope="" ma:versionID="f5d419073af479a9667be57ebdabf5b3">
  <xsd:schema xmlns:xsd="http://www.w3.org/2001/XMLSchema" xmlns:xs="http://www.w3.org/2001/XMLSchema" xmlns:p="http://schemas.microsoft.com/office/2006/metadata/properties" xmlns:ns2="546f6921-c430-45e7-8b30-d6d9b86d8f0f" xmlns:ns3="364167a4-bc77-49ec-93f2-879d4481bae7" targetNamespace="http://schemas.microsoft.com/office/2006/metadata/properties" ma:root="true" ma:fieldsID="fb422b1d84a34ba11f054fd3b754dea3" ns2:_="" ns3:_="">
    <xsd:import namespace="546f6921-c430-45e7-8b30-d6d9b86d8f0f"/>
    <xsd:import namespace="364167a4-bc77-49ec-93f2-879d4481ba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f6921-c430-45e7-8b30-d6d9b86d8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8593b7-542e-4346-9e98-482410f851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167a4-bc77-49ec-93f2-879d4481bae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6da4be5-8208-4e66-88d6-ea746c0d6bdb}" ma:internalName="TaxCatchAll" ma:showField="CatchAllData" ma:web="364167a4-bc77-49ec-93f2-879d4481ba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6f6921-c430-45e7-8b30-d6d9b86d8f0f">
      <Terms xmlns="http://schemas.microsoft.com/office/infopath/2007/PartnerControls"/>
    </lcf76f155ced4ddcb4097134ff3c332f>
    <TaxCatchAll xmlns="364167a4-bc77-49ec-93f2-879d4481bae7" xsi:nil="true"/>
  </documentManagement>
</p:properties>
</file>

<file path=customXml/itemProps1.xml><?xml version="1.0" encoding="utf-8"?>
<ds:datastoreItem xmlns:ds="http://schemas.openxmlformats.org/officeDocument/2006/customXml" ds:itemID="{5656E7FC-8739-4AA4-8E2F-8E1DDD7713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13DAF4-75CF-4CAD-98E0-C37001267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f6921-c430-45e7-8b30-d6d9b86d8f0f"/>
    <ds:schemaRef ds:uri="364167a4-bc77-49ec-93f2-879d4481b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E1F151-0F5C-495E-9947-EE9B49CBAA94}">
  <ds:schemaRefs>
    <ds:schemaRef ds:uri="http://schemas.microsoft.com/office/2006/metadata/properties"/>
    <ds:schemaRef ds:uri="http://schemas.microsoft.com/office/infopath/2007/PartnerControls"/>
    <ds:schemaRef ds:uri="546f6921-c430-45e7-8b30-d6d9b86d8f0f"/>
    <ds:schemaRef ds:uri="364167a4-bc77-49ec-93f2-879d4481ba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QUADRO</vt:lpstr>
      <vt:lpstr>Somatória</vt:lpstr>
      <vt:lpstr>Preenchimento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IAJA - Heber Elias Pinheiro</cp:lastModifiedBy>
  <cp:revision/>
  <cp:lastPrinted>2026-06-12T16:29:25Z</cp:lastPrinted>
  <dcterms:created xsi:type="dcterms:W3CDTF">2021-04-20T10:36:52Z</dcterms:created>
  <dcterms:modified xsi:type="dcterms:W3CDTF">2026-07-10T14:48:41Z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0x010100F9EA5E59716CA04482326D7D6394CBC5</vt:lpwstr>
  </property>
  <property fmtid="{D5CDD505-2E9C-101B-9397-08002B2CF9AE}" pid="3" name="MediaServiceImageTags">
    <vt:lpwstr/>
  </property>
</Properties>
</file>